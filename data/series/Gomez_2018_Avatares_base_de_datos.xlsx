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9.xml.rels" ContentType="application/vnd.openxmlformats-package.relationships+xml"/>
  <Override PartName="/xl/drawings/_rels/drawing8.xml.rels" ContentType="application/vnd.openxmlformats-package.relationships+xml"/>
  <Override PartName="/xl/drawings/_rels/drawing7.xml.rels" ContentType="application/vnd.openxmlformats-package.relationships+xml"/>
  <Override PartName="/xl/drawings/_rels/drawing10.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10.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LEEME" sheetId="1" state="visible" r:id="rId3"/>
    <sheet name="01_Catalogo" sheetId="2" state="visible" r:id="rId4"/>
    <sheet name="02_Fuentes" sheetId="3" state="visible" r:id="rId5"/>
    <sheet name="10_TC_Precios_1891_1899" sheetId="4" state="visible" r:id="rId6"/>
    <sheet name="11_Arreglos_deuda_1890s" sheetId="5" state="visible" r:id="rId7"/>
    <sheet name="12_Fondo_Conversion" sheetId="6" state="visible" r:id="rId8"/>
    <sheet name="13_Redescuentos_bancos" sheetId="7" state="visible" r:id="rId9"/>
    <sheet name="14_Cuenta_Tesoreria" sheetId="8" state="visible" r:id="rId10"/>
    <sheet name="15_Financ_LP_al_Estado" sheetId="9" state="visible" r:id="rId11"/>
    <sheet name="16_Depositos_1913_1915" sheetId="10" state="visible" r:id="rId12"/>
    <sheet name="17_Depositos_1929_1934" sheetId="11" state="visible" r:id="rId13"/>
    <sheet name="18_Origen_redescuentos" sheetId="12" state="visible" r:id="rId14"/>
    <sheet name="19_Liquidez_por_periodo" sheetId="13" state="visible" r:id="rId15"/>
    <sheet name="20_Depositos_crecimiento" sheetId="14" state="visible" r:id="rId16"/>
    <sheet name="21_Balanza_pagos_texto" sheetId="15" state="visible" r:id="rId17"/>
    <sheet name="25_Regresiones" sheetId="16" state="visible" r:id="rId18"/>
    <sheet name="26_Contingencia_Caja" sheetId="17" state="visible" r:id="rId19"/>
    <sheet name="27_BCRA_1935" sheetId="18" state="visible" r:id="rId20"/>
    <sheet name="30_Datos_en_el_texto" sheetId="19" state="visible" r:id="rId21"/>
  </sheets>
  <definedNames>
    <definedName function="false" hidden="true" localSheetId="18" name="_xlnm._FilterDatabase" vbProcedure="false">30_Datos_en_el_texto!$A$4:$F$76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<sst xmlns="http://schemas.openxmlformats.org/spreadsheetml/2006/main" count="1826" uniqueCount="1076">
  <si>
    <t xml:space="preserve">AVATARES DE UN SISTEMA MONETARIO — BASE DE DATOS EXTRAÍDA</t>
  </si>
  <si>
    <t xml:space="preserve">Obra</t>
  </si>
  <si>
    <t xml:space="preserve">Gómez, Mónica (2018). Avatares de un sistema monetario. La Primera Caja de Conversión argentina y su transformación final en Banco Central (1890-1935). Buenos Aires: Editorial Teseo, 208 p. ISBN 978-987-723-158-8. Repositorio Digital Universitario (RDU-UNC). Licencia CC BY-NC-ND 4.0.</t>
  </si>
  <si>
    <t xml:space="preserve">Contenido del libro</t>
  </si>
  <si>
    <t xml:space="preserve">94 elementos numéricos: 30 cuadros y 64 gráficos. Este archivo transcribe TODOS los cuadros con datos numéricos y cataloga los 64 gráficos con su fuente y unidad.</t>
  </si>
  <si>
    <t xml:space="preserve">Qué SÍ está acá</t>
  </si>
  <si>
    <t xml:space="preserve">Todos los valores numéricos publicados en forma de tabla en el libro, más ~200 datos puntuales que aparecen sólo en el texto corrido (hoja 30). Cada dato con su fuente y su página.</t>
  </si>
  <si>
    <t xml:space="preserve">Qué NO está acá</t>
  </si>
  <si>
    <t xml:space="preserve">Las series mensuales que sostienen los gráficos. El libro publica los gráficos como imágenes vectoriales sin tabla de datos ni etiquetas de valor. Esos datos NO son recuperables del PDF: hay que ir a la base de datos original (ver abajo).</t>
  </si>
  <si>
    <t xml:space="preserve">LA FUENTE MADRE</t>
  </si>
  <si>
    <t xml:space="preserve">Casi todos los gráficos y varios cuadros dicen "Fuente: véase Apéndice". El Apéndice (p. 195) aclara: la autora construyó una base en Excel con 10 tablas, 59 variables y 420 registros MENSUALES (enero 1901 - diciembre 1935), levantada íntegramente de Baiocco, Pedro (1937), "La economía bancaria argentina", Instituto Bancario de la FCE-UBA. La base incluye una tabla de fuentes y notas que reproduce el origen de cada dato y cómo lo construyó el equipo de Baiocco. Link publicado en el libro: https://goo.gl/CZtJLZ (acortador discontinuado desde 2019 — conviene pedirla directamente a la autora, Mónica Gómez, FCE-UNC).</t>
  </si>
  <si>
    <t xml:space="preserve">Segunda fuente clave</t>
  </si>
  <si>
    <t xml:space="preserve">Ferreres, Orlando (2005), "Dos siglos de economía argentina", Fundación Norte y Sur. Sostiene TODOS los gráficos de balanza de pagos, comercio exterior, cuentas públicas y población rural. Esos datos sí son de acceso relativamente fácil.</t>
  </si>
  <si>
    <t xml:space="preserve">Tercera fuente clave</t>
  </si>
  <si>
    <t xml:space="preserve">BNA (1941), "Banco de la Nación Argentina en su cincuentenario". Sostiene todos los cuadros de financiamiento del BNA al Estado (Cuenta Tesorería, Letras, préstamos oficiales, fondos públicos).</t>
  </si>
  <si>
    <t xml:space="preserve">Advertencia de unidades</t>
  </si>
  <si>
    <t xml:space="preserve">El libro mezcla cinco unidades: pesos moneda nacional (m$n o "pesos papel"), pesos oro, libras esterlinas, dólares e índices. La paridad legal 1899-1929 es 2,27 m$n por peso oro. Nunca sumar series sin convertir. Cada hoja aclara su unidad.</t>
  </si>
  <si>
    <t xml:space="preserve">Cómo citar</t>
  </si>
  <si>
    <t xml:space="preserve">Gómez (2018: p. XX, cuadro/gráfico Y.Z), indicando además la fuente primaria que el libro declara.</t>
  </si>
  <si>
    <t xml:space="preserve">ÍNDICE DE HOJAS</t>
  </si>
  <si>
    <t xml:space="preserve">01_Catalogo</t>
  </si>
  <si>
    <t xml:space="preserve">Los 94 cuadros y gráficos: número, título, variable, unidad, período, frecuencia, fuente declarada, página.</t>
  </si>
  <si>
    <t xml:space="preserve">02_Fuentes</t>
  </si>
  <si>
    <t xml:space="preserve">Las 10 fuentes primarias citadas, qué serie sostiene cada una y dónde conseguirla.</t>
  </si>
  <si>
    <t xml:space="preserve">10_TC_Precios_1891_1899</t>
  </si>
  <si>
    <t xml:space="preserve">Cuadro I.1. Tipo de cambio y nivel de precios. + gráfico.</t>
  </si>
  <si>
    <t xml:space="preserve">11_Arreglos_deuda_1890s</t>
  </si>
  <si>
    <t xml:space="preserve">Cuadros I.4, I.5 y I.6. Arreglo Romero, garantías ferroviarias y deudas provinciales.</t>
  </si>
  <si>
    <t xml:space="preserve">12_Fondo_Conversion</t>
  </si>
  <si>
    <t xml:space="preserve">Cuadros II.2 + III.2 + IV.2 empalmados: 1900-1928, en millones de pesos oro. + gráfico.</t>
  </si>
  <si>
    <t xml:space="preserve">13_Redescuentos_bancos</t>
  </si>
  <si>
    <t xml:space="preserve">Cuadros II.3 + III.4 + IV.4 + V.6 empalmados: 1908-1934. + gráfico de dos ejes.</t>
  </si>
  <si>
    <t xml:space="preserve">14_Cuenta_Tesoreria</t>
  </si>
  <si>
    <t xml:space="preserve">Cuadros II.4 + III.5 + IV.5 + V.8 empalmados: 1900-1934. + gráfico.</t>
  </si>
  <si>
    <t xml:space="preserve">15_Financ_LP_al_Estado</t>
  </si>
  <si>
    <t xml:space="preserve">Cuadros II.4 + III.6 + IV.6 + V.9 empalmados: préstamos oficiales, fondos públicos, adelantos. + gráfico.</t>
  </si>
  <si>
    <t xml:space="preserve">16_Depositos_1913_1915</t>
  </si>
  <si>
    <t xml:space="preserve">Cuadro III.3. Tasas de crecimiento de depósitos por grupo de bancos. + gráfico.</t>
  </si>
  <si>
    <t xml:space="preserve">17_Depositos_1929_1934</t>
  </si>
  <si>
    <t xml:space="preserve">Cuadro V.5. Idem para la Gran Depresión. + gráfico.</t>
  </si>
  <si>
    <t xml:space="preserve">18_Origen_redescuentos</t>
  </si>
  <si>
    <t xml:space="preserve">Cuadro V.7. Fondos propios del BNA vs. emisión de la Caja. + gráfico.</t>
  </si>
  <si>
    <t xml:space="preserve">19_Liquidez_por_periodo</t>
  </si>
  <si>
    <t xml:space="preserve">Serie construida con los datos del texto: ratio reservas/depósitos observado y contrafactual. + gráfico.</t>
  </si>
  <si>
    <t xml:space="preserve">20_Depositos_crecimiento</t>
  </si>
  <si>
    <t xml:space="preserve">Serie construida con los datos del texto: crecimiento real de depósitos y variabilidad por período. + gráfico.</t>
  </si>
  <si>
    <t xml:space="preserve">21_Balanza_pagos_texto</t>
  </si>
  <si>
    <t xml:space="preserve">Valores medios y medianos de la balanza de pagos por subperíodo, citados en el texto. + gráfico.</t>
  </si>
  <si>
    <t xml:space="preserve">25_Regresiones</t>
  </si>
  <si>
    <t xml:space="preserve">Cuadros I.2, I.3, II.1 y IV.3. Modelos econométricos con todos sus estadísticos.</t>
  </si>
  <si>
    <t xml:space="preserve">26_Contingencia_Caja</t>
  </si>
  <si>
    <t xml:space="preserve">Cuadros III.1, IV.1, V.1, V.2, V.3, V.4. Tablas de contingencia base monetaria vs. reservas.</t>
  </si>
  <si>
    <t xml:space="preserve">27_BCRA_1935</t>
  </si>
  <si>
    <t xml:space="preserve">Cuadros VI.1, VI.3, VI.4 y los parámetros legales de la Ley 12.155.</t>
  </si>
  <si>
    <t xml:space="preserve">30_Datos_en_el_texto</t>
  </si>
  <si>
    <t xml:space="preserve">Todo dato numérico que el libro da sólo en prosa, con página y fuente.</t>
  </si>
  <si>
    <t xml:space="preserve">CATÁLOGO COMPLETO DE CUADROS Y GRÁFICOS</t>
  </si>
  <si>
    <t xml:space="preserve">Columna "Datos": SÍ = los valores están transcriptos en este archivo. NO = el libro sólo publica la imagen del gráfico, sin tabla; hay que ir a la fuente. Página = numeración impresa del libro.</t>
  </si>
  <si>
    <t xml:space="preserve">Tipo</t>
  </si>
  <si>
    <t xml:space="preserve">N°</t>
  </si>
  <si>
    <t xml:space="preserve">Título</t>
  </si>
  <si>
    <t xml:space="preserve">Variable / contenido</t>
  </si>
  <si>
    <t xml:space="preserve">Unidad</t>
  </si>
  <si>
    <t xml:space="preserve">Período</t>
  </si>
  <si>
    <t xml:space="preserve">Fuente declarada en el libro</t>
  </si>
  <si>
    <t xml:space="preserve">Pág.</t>
  </si>
  <si>
    <t xml:space="preserve">Datos</t>
  </si>
  <si>
    <t xml:space="preserve">Cuadro</t>
  </si>
  <si>
    <t xml:space="preserve">I.1</t>
  </si>
  <si>
    <t xml:space="preserve">Tipo de cambio y nivel de precios, 1891-1899</t>
  </si>
  <si>
    <t xml:space="preserve">Tipo de cambio promedio anual; IPC</t>
  </si>
  <si>
    <t xml:space="preserve">m$n por $ oro; índice 1886=100</t>
  </si>
  <si>
    <t xml:space="preserve">1891-1899</t>
  </si>
  <si>
    <t xml:space="preserve">Ferreres (2005)</t>
  </si>
  <si>
    <t xml:space="preserve">27</t>
  </si>
  <si>
    <t xml:space="preserve">SÍ</t>
  </si>
  <si>
    <t xml:space="preserve">Gráfico</t>
  </si>
  <si>
    <t xml:space="preserve">Superficie cultivada. Región Pampeana, 1880-1912</t>
  </si>
  <si>
    <t xml:space="preserve">Superficie cultivada</t>
  </si>
  <si>
    <t xml:space="preserve">Millones de hectáreas</t>
  </si>
  <si>
    <t xml:space="preserve">1880-1912</t>
  </si>
  <si>
    <t xml:space="preserve">Cortés Conde (1979: 178)</t>
  </si>
  <si>
    <t xml:space="preserve">37</t>
  </si>
  <si>
    <t xml:space="preserve">NO</t>
  </si>
  <si>
    <t xml:space="preserve">I.2</t>
  </si>
  <si>
    <t xml:space="preserve">Modelo de valor de las exportaciones y superficie cultivada</t>
  </si>
  <si>
    <t xml:space="preserve">Regresión EXPO ~ SUPCULT(-1)</t>
  </si>
  <si>
    <t xml:space="preserve">Coeficientes y estadísticos</t>
  </si>
  <si>
    <t xml:space="preserve">32 obs.</t>
  </si>
  <si>
    <t xml:space="preserve">Elaboración propia (no declara fuente de datos)</t>
  </si>
  <si>
    <t xml:space="preserve">38</t>
  </si>
  <si>
    <t xml:space="preserve">Red ferroviaria, 1880-1914</t>
  </si>
  <si>
    <t xml:space="preserve">Kilómetros de vía férrea</t>
  </si>
  <si>
    <t xml:space="preserve">Miles de km</t>
  </si>
  <si>
    <t xml:space="preserve">1880-1914</t>
  </si>
  <si>
    <t xml:space="preserve">Vázquez Presedo (1971: 105)</t>
  </si>
  <si>
    <t xml:space="preserve">39</t>
  </si>
  <si>
    <t xml:space="preserve">I.3</t>
  </si>
  <si>
    <t xml:space="preserve">Modelo de superficie cultivada, líneas férreas y población total</t>
  </si>
  <si>
    <t xml:space="preserve">Regresión LOGSUPCULT ~ LOGVFERREAS, LOGPOBRURAL</t>
  </si>
  <si>
    <t xml:space="preserve">21 obs.</t>
  </si>
  <si>
    <t xml:space="preserve">Elaboración propia</t>
  </si>
  <si>
    <t xml:space="preserve">40</t>
  </si>
  <si>
    <t xml:space="preserve">Población rural, 1880-1914</t>
  </si>
  <si>
    <t xml:space="preserve">Población rural</t>
  </si>
  <si>
    <t xml:space="preserve">Millones de personas</t>
  </si>
  <si>
    <t xml:space="preserve">43</t>
  </si>
  <si>
    <t xml:space="preserve">I.4</t>
  </si>
  <si>
    <t xml:space="preserve">Exportaciones, 1880-1913</t>
  </si>
  <si>
    <t xml:space="preserve">Valor de exportaciones</t>
  </si>
  <si>
    <t xml:space="preserve">Millones de libras esterlinas</t>
  </si>
  <si>
    <t xml:space="preserve">1880-1913</t>
  </si>
  <si>
    <t xml:space="preserve">Rayes (2014)</t>
  </si>
  <si>
    <t xml:space="preserve">44</t>
  </si>
  <si>
    <t xml:space="preserve">Empréstitos incluidos en el Arreglo Romero, 1893</t>
  </si>
  <si>
    <t xml:space="preserve">Monto en circulación de 14 empréstitos</t>
  </si>
  <si>
    <t xml:space="preserve">Libras esterlinas</t>
  </si>
  <si>
    <t xml:space="preserve">1893</t>
  </si>
  <si>
    <t xml:space="preserve">García Vizcaino (1972: 145)</t>
  </si>
  <si>
    <t xml:space="preserve">47</t>
  </si>
  <si>
    <t xml:space="preserve">I.5</t>
  </si>
  <si>
    <t xml:space="preserve">El arreglo de las garantías ferroviarias</t>
  </si>
  <si>
    <t xml:space="preserve">Garantía, plazo, fecha y títulos emitidos por ferrocarril</t>
  </si>
  <si>
    <t xml:space="preserve">% / años / millones de $ oro</t>
  </si>
  <si>
    <t xml:space="preserve">1869-1898</t>
  </si>
  <si>
    <t xml:space="preserve">Gerchunoff, Rocchi y Rossi (2008: 275)</t>
  </si>
  <si>
    <t xml:space="preserve">49</t>
  </si>
  <si>
    <t xml:space="preserve">I.6</t>
  </si>
  <si>
    <t xml:space="preserve">El arreglo de las deudas externas provinciales</t>
  </si>
  <si>
    <t xml:space="preserve">Títulos emitidos por la Nación por provincia</t>
  </si>
  <si>
    <t xml:space="preserve">Millones de pesos oro</t>
  </si>
  <si>
    <t xml:space="preserve">1897-1900</t>
  </si>
  <si>
    <t xml:space="preserve">Gerchunoff, Rocchi y Rossi (2008: 273)</t>
  </si>
  <si>
    <t xml:space="preserve">51</t>
  </si>
  <si>
    <t xml:space="preserve">II.1</t>
  </si>
  <si>
    <t xml:space="preserve">Balanzas de pagos, 1900-1913</t>
  </si>
  <si>
    <t xml:space="preserve">Exportaciones, importaciones, cuenta capital, saldo</t>
  </si>
  <si>
    <t xml:space="preserve">Millones de dólares</t>
  </si>
  <si>
    <t xml:space="preserve">1900-1913</t>
  </si>
  <si>
    <t xml:space="preserve">57</t>
  </si>
  <si>
    <t xml:space="preserve">II.2</t>
  </si>
  <si>
    <t xml:space="preserve">Cantidades exportadas e importadas, 1900-1913</t>
  </si>
  <si>
    <t xml:space="preserve">Quantum de comercio exterior</t>
  </si>
  <si>
    <t xml:space="preserve">Índice 1993=100</t>
  </si>
  <si>
    <t xml:space="preserve">II.3</t>
  </si>
  <si>
    <t xml:space="preserve">Precios de comercio exterior, 1900-1913</t>
  </si>
  <si>
    <t xml:space="preserve">Precios de exportación e importación</t>
  </si>
  <si>
    <t xml:space="preserve">58</t>
  </si>
  <si>
    <t xml:space="preserve">II.4</t>
  </si>
  <si>
    <t xml:space="preserve">Tipo de cambio, 1901-1913</t>
  </si>
  <si>
    <t xml:space="preserve">TC observado y TC legal (2,27)</t>
  </si>
  <si>
    <t xml:space="preserve">m$n por peso oro</t>
  </si>
  <si>
    <t xml:space="preserve">1901-1913 (mensual)</t>
  </si>
  <si>
    <t xml:space="preserve">Base de datos del Apéndice (Baiocco, 1937)</t>
  </si>
  <si>
    <t xml:space="preserve">59</t>
  </si>
  <si>
    <t xml:space="preserve">II.5</t>
  </si>
  <si>
    <t xml:space="preserve">Dispersión base monetaria vs. reservas metálicas, oct.1902-jul.1914</t>
  </si>
  <si>
    <t xml:space="preserve">Δ mensual base monetaria vs. Δ reservas</t>
  </si>
  <si>
    <t xml:space="preserve">Millones de pesos papel</t>
  </si>
  <si>
    <t xml:space="preserve">1902-1914 (mensual)</t>
  </si>
  <si>
    <t xml:space="preserve">60</t>
  </si>
  <si>
    <t xml:space="preserve">Regresión entre base monetaria y reservas metálicas, oct.1902-jul.1914</t>
  </si>
  <si>
    <t xml:space="preserve">Coeficiente, error estándar, N</t>
  </si>
  <si>
    <t xml:space="preserve">Coeficientes</t>
  </si>
  <si>
    <t xml:space="preserve">1902-1914</t>
  </si>
  <si>
    <t xml:space="preserve">61</t>
  </si>
  <si>
    <t xml:space="preserve">Fondo de Conversión depositado en el BNA, 1900-1913</t>
  </si>
  <si>
    <t xml:space="preserve">Fondo de Conversión</t>
  </si>
  <si>
    <t xml:space="preserve">Salama (1998: 396)</t>
  </si>
  <si>
    <t xml:space="preserve">62</t>
  </si>
  <si>
    <t xml:space="preserve">II.6</t>
  </si>
  <si>
    <t xml:space="preserve">Depósitos del BNA y del resto de los bancos, 1908-1913</t>
  </si>
  <si>
    <t xml:space="preserve">Depósitos reales (deflactados por tasa de interés)</t>
  </si>
  <si>
    <t xml:space="preserve">Millones de m$n</t>
  </si>
  <si>
    <t xml:space="preserve">1908-1913 (mensual)</t>
  </si>
  <si>
    <t xml:space="preserve">63</t>
  </si>
  <si>
    <t xml:space="preserve">II.7</t>
  </si>
  <si>
    <t xml:space="preserve">Ratio reservas a depósitos, 1908-1913</t>
  </si>
  <si>
    <t xml:space="preserve">Reservas / depósitos, BNA y resto</t>
  </si>
  <si>
    <t xml:space="preserve">Porcentaje</t>
  </si>
  <si>
    <t xml:space="preserve">II.8</t>
  </si>
  <si>
    <t xml:space="preserve">Resultados primario y financiero de la APN, 1900-1913</t>
  </si>
  <si>
    <t xml:space="preserve">Resultado primario y financiero</t>
  </si>
  <si>
    <t xml:space="preserve">% del PIB</t>
  </si>
  <si>
    <t xml:space="preserve">64</t>
  </si>
  <si>
    <t xml:space="preserve">II.9</t>
  </si>
  <si>
    <t xml:space="preserve">Ingresos y gastos totales de la APN, 1900-1913</t>
  </si>
  <si>
    <t xml:space="preserve">Ingresos y gastos</t>
  </si>
  <si>
    <t xml:space="preserve">65</t>
  </si>
  <si>
    <t xml:space="preserve">Préstamos del BNA a otros bancos, 1908-1913</t>
  </si>
  <si>
    <t xml:space="preserve">Redescuentos y su peso en las reservas</t>
  </si>
  <si>
    <t xml:space="preserve">Millones de m$n; %</t>
  </si>
  <si>
    <t xml:space="preserve">1908-1913</t>
  </si>
  <si>
    <t xml:space="preserve">Base de datos del Apéndice y BNA (1941)</t>
  </si>
  <si>
    <t xml:space="preserve">66</t>
  </si>
  <si>
    <t xml:space="preserve">II.10</t>
  </si>
  <si>
    <t xml:space="preserve">Razón reservas/depósitos del resto de los bancos (observada y contrafactual), 1908-1913</t>
  </si>
  <si>
    <t xml:space="preserve">Ratio con y sin redescuentos</t>
  </si>
  <si>
    <t xml:space="preserve">67</t>
  </si>
  <si>
    <t xml:space="preserve">Saldo de la Cuenta Tesorería General y fondos públicos, 1900-1913</t>
  </si>
  <si>
    <t xml:space="preserve">Saldos deudores, límite legal, fondos públicos</t>
  </si>
  <si>
    <t xml:space="preserve">BNA (1941)</t>
  </si>
  <si>
    <t xml:space="preserve">68</t>
  </si>
  <si>
    <t xml:space="preserve">II.11</t>
  </si>
  <si>
    <t xml:space="preserve">Resultado financiero de la Administración General (observado y contrafactual), 1900-1913</t>
  </si>
  <si>
    <t xml:space="preserve">Resultado con y sin financiamiento del BNA</t>
  </si>
  <si>
    <t xml:space="preserve">BNA (1941) y Ferreres (2005)</t>
  </si>
  <si>
    <t xml:space="preserve">69</t>
  </si>
  <si>
    <t xml:space="preserve">III.1</t>
  </si>
  <si>
    <t xml:space="preserve">Balanza de pagos, 1913-1918</t>
  </si>
  <si>
    <t xml:space="preserve">1913-1918</t>
  </si>
  <si>
    <t xml:space="preserve">73</t>
  </si>
  <si>
    <t xml:space="preserve">III.2</t>
  </si>
  <si>
    <t xml:space="preserve">Cantidades exportadas e importadas, 1913-1918</t>
  </si>
  <si>
    <t xml:space="preserve">III.3</t>
  </si>
  <si>
    <t xml:space="preserve">Precios de comercio exterior, 1913-1918</t>
  </si>
  <si>
    <t xml:space="preserve">74</t>
  </si>
  <si>
    <t xml:space="preserve">III.4</t>
  </si>
  <si>
    <t xml:space="preserve">Dispersión base monetaria vs. reservas, ago.1914-dic.1918</t>
  </si>
  <si>
    <t xml:space="preserve">Δ mensual de cada variable</t>
  </si>
  <si>
    <t xml:space="preserve">1914-1918 (mensual)</t>
  </si>
  <si>
    <t xml:space="preserve">81</t>
  </si>
  <si>
    <t xml:space="preserve">Comportamiento de la Caja de Conversión, ago.1914-dic.1918</t>
  </si>
  <si>
    <t xml:space="preserve">Tabla de contingencia ΔM vs. ΔR</t>
  </si>
  <si>
    <t xml:space="preserve">Frecuencias (53 meses)</t>
  </si>
  <si>
    <t xml:space="preserve">1914-1918</t>
  </si>
  <si>
    <t xml:space="preserve">82</t>
  </si>
  <si>
    <t xml:space="preserve">III.5</t>
  </si>
  <si>
    <t xml:space="preserve">Tipo de cambio, 1914-1918</t>
  </si>
  <si>
    <t xml:space="preserve">TC observado y paridad</t>
  </si>
  <si>
    <t xml:space="preserve">83</t>
  </si>
  <si>
    <t xml:space="preserve">Fondo de Conversión depositado en el BNA, 1913-1918</t>
  </si>
  <si>
    <t xml:space="preserve">84</t>
  </si>
  <si>
    <t xml:space="preserve">III.6</t>
  </si>
  <si>
    <t xml:space="preserve">Razón circulante/depósitos, 1913-1915</t>
  </si>
  <si>
    <t xml:space="preserve">Circulante sobre depósitos</t>
  </si>
  <si>
    <t xml:space="preserve">Ratio</t>
  </si>
  <si>
    <t xml:space="preserve">1913-1915 (mensual)</t>
  </si>
  <si>
    <t xml:space="preserve">85</t>
  </si>
  <si>
    <t xml:space="preserve">Tasas de crecimiento anuales y trimestrales de los depósitos, 1913-1915</t>
  </si>
  <si>
    <t xml:space="preserve">Crecimiento por grupo de bancos</t>
  </si>
  <si>
    <t xml:space="preserve">1914-1915</t>
  </si>
  <si>
    <t xml:space="preserve">86</t>
  </si>
  <si>
    <t xml:space="preserve">III.7</t>
  </si>
  <si>
    <t xml:space="preserve">Nivel de liquidez, 1913-1915</t>
  </si>
  <si>
    <t xml:space="preserve">Liquidez por grupo de bancos</t>
  </si>
  <si>
    <t xml:space="preserve">88</t>
  </si>
  <si>
    <t xml:space="preserve">III.8</t>
  </si>
  <si>
    <t xml:space="preserve">Depósitos del BNA y del resto de los bancos, 1914-1918</t>
  </si>
  <si>
    <t xml:space="preserve">Depósitos reales</t>
  </si>
  <si>
    <t xml:space="preserve">89</t>
  </si>
  <si>
    <t xml:space="preserve">III.9</t>
  </si>
  <si>
    <t xml:space="preserve">Ratio reservas a depósitos, 1914-1918</t>
  </si>
  <si>
    <t xml:space="preserve">Reservas / depósitos</t>
  </si>
  <si>
    <t xml:space="preserve">90</t>
  </si>
  <si>
    <t xml:space="preserve">III.10</t>
  </si>
  <si>
    <t xml:space="preserve">Resultados primario y financiero de la APN, 1913-1918</t>
  </si>
  <si>
    <t xml:space="preserve">91</t>
  </si>
  <si>
    <t xml:space="preserve">III.11</t>
  </si>
  <si>
    <t xml:space="preserve">Ingresos y gastos totales de la APN, 1913-1918</t>
  </si>
  <si>
    <t xml:space="preserve">Redescuentos del BNA a otros bancos, 1914-1918</t>
  </si>
  <si>
    <t xml:space="preserve">Redescuentos y peso en reservas</t>
  </si>
  <si>
    <t xml:space="preserve">92</t>
  </si>
  <si>
    <t xml:space="preserve">III.12</t>
  </si>
  <si>
    <t xml:space="preserve">Razón reservas/depósitos del resto de bancos, 1914-1918</t>
  </si>
  <si>
    <t xml:space="preserve">Observada y contrafactual</t>
  </si>
  <si>
    <t xml:space="preserve">93</t>
  </si>
  <si>
    <t xml:space="preserve">Financiamiento de corto plazo del BNA al Estado, 1914-1918</t>
  </si>
  <si>
    <t xml:space="preserve">Cuenta Tesorería y redescuentos de Letras</t>
  </si>
  <si>
    <t xml:space="preserve">94</t>
  </si>
  <si>
    <t xml:space="preserve">Otras fuentes de financiamiento del Estado por el BNA, 1914-1918</t>
  </si>
  <si>
    <t xml:space="preserve">Préstamos oficiales y fondos públicos</t>
  </si>
  <si>
    <t xml:space="preserve">95</t>
  </si>
  <si>
    <t xml:space="preserve">III.13</t>
  </si>
  <si>
    <t xml:space="preserve">Resultado financiero de la Administración General (obs. y contraf.), 1914-1918</t>
  </si>
  <si>
    <t xml:space="preserve">96</t>
  </si>
  <si>
    <t xml:space="preserve">III.14</t>
  </si>
  <si>
    <t xml:space="preserve">Razón reservas/depósitos del BNA: observada y dos contrafactuales, 1914-1918</t>
  </si>
  <si>
    <t xml:space="preserve">Ratio sin redescuentos / sin financiamiento al Estado</t>
  </si>
  <si>
    <t xml:space="preserve">98</t>
  </si>
  <si>
    <t xml:space="preserve">IV.1</t>
  </si>
  <si>
    <t xml:space="preserve">Balanzas de pagos, 1919-1928</t>
  </si>
  <si>
    <t xml:space="preserve">1919-1928</t>
  </si>
  <si>
    <t xml:space="preserve">103</t>
  </si>
  <si>
    <t xml:space="preserve">IV.2</t>
  </si>
  <si>
    <t xml:space="preserve">Cantidades exportadas e importadas, 1919-1928</t>
  </si>
  <si>
    <t xml:space="preserve">IV.3</t>
  </si>
  <si>
    <t xml:space="preserve">Precios de comercio exterior, 1919-1928</t>
  </si>
  <si>
    <t xml:space="preserve">104</t>
  </si>
  <si>
    <t xml:space="preserve">IV.4</t>
  </si>
  <si>
    <t xml:space="preserve">Dispersión base monetaria vs. reservas, ene.1919-jul.1927</t>
  </si>
  <si>
    <t xml:space="preserve">1919-1927 (mensual)</t>
  </si>
  <si>
    <t xml:space="preserve">105</t>
  </si>
  <si>
    <t xml:space="preserve">Comportamiento de la Caja de Conversión, ene.1919-jul.1927</t>
  </si>
  <si>
    <t xml:space="preserve">Frecuencias (103 meses)</t>
  </si>
  <si>
    <t xml:space="preserve">1919-1927</t>
  </si>
  <si>
    <t xml:space="preserve">106</t>
  </si>
  <si>
    <t xml:space="preserve">IV.5</t>
  </si>
  <si>
    <t xml:space="preserve">Tipo de cambio, 1919-1928</t>
  </si>
  <si>
    <t xml:space="preserve">1919-1928 (mensual)</t>
  </si>
  <si>
    <t xml:space="preserve">107</t>
  </si>
  <si>
    <t xml:space="preserve">Fondo de Conversión depositado en el BNA, 1919-1928</t>
  </si>
  <si>
    <t xml:space="preserve">108</t>
  </si>
  <si>
    <t xml:space="preserve">IV.6</t>
  </si>
  <si>
    <t xml:space="preserve">Dispersión base monetaria vs. reservas, ago.1927-nov.1929</t>
  </si>
  <si>
    <t xml:space="preserve">1927-1929 (mensual)</t>
  </si>
  <si>
    <t xml:space="preserve">109</t>
  </si>
  <si>
    <t xml:space="preserve">Regresión base monetaria vs. reservas metálicas, ago.1927-nov.1929</t>
  </si>
  <si>
    <t xml:space="preserve">Coeficiente MCG y tests</t>
  </si>
  <si>
    <t xml:space="preserve">1927-1929</t>
  </si>
  <si>
    <t xml:space="preserve">110</t>
  </si>
  <si>
    <t xml:space="preserve">IV.7</t>
  </si>
  <si>
    <t xml:space="preserve">Depósitos del BNA y del resto de los bancos, 1919-1928</t>
  </si>
  <si>
    <t xml:space="preserve">111</t>
  </si>
  <si>
    <t xml:space="preserve">IV.8</t>
  </si>
  <si>
    <t xml:space="preserve">Ratio reservas a depósitos, 1919-1928</t>
  </si>
  <si>
    <t xml:space="preserve">112</t>
  </si>
  <si>
    <t xml:space="preserve">IV.9</t>
  </si>
  <si>
    <t xml:space="preserve">Resultados primario y financiero de la APN, 1919-1928</t>
  </si>
  <si>
    <t xml:space="preserve">113</t>
  </si>
  <si>
    <t xml:space="preserve">IV.10</t>
  </si>
  <si>
    <t xml:space="preserve">Ingresos y gastos totales de la APN, 1919-1928</t>
  </si>
  <si>
    <t xml:space="preserve">114</t>
  </si>
  <si>
    <t xml:space="preserve">Redescuentos del BNA a otros bancos, 1919-1928</t>
  </si>
  <si>
    <t xml:space="preserve">115</t>
  </si>
  <si>
    <t xml:space="preserve">IV.11</t>
  </si>
  <si>
    <t xml:space="preserve">Razón reservas/depósitos del resto de los bancos (obs. y contraf.), 1919-1928</t>
  </si>
  <si>
    <t xml:space="preserve">116</t>
  </si>
  <si>
    <t xml:space="preserve">Financiamiento de corto plazo del BNA al Estado, 1919-1928</t>
  </si>
  <si>
    <t xml:space="preserve">117</t>
  </si>
  <si>
    <t xml:space="preserve">Otras fuentes de financiamiento del BNA al Estado, 1919-1928</t>
  </si>
  <si>
    <t xml:space="preserve">Préstamos oficiales, fondos públicos, adelantos, reintegro FC</t>
  </si>
  <si>
    <t xml:space="preserve">118</t>
  </si>
  <si>
    <t xml:space="preserve">IV.12</t>
  </si>
  <si>
    <t xml:space="preserve">Resultado financiero de la Administración General (obs. y contraf.), 1919-1928</t>
  </si>
  <si>
    <t xml:space="preserve">Ferreres (2005) y BNA (1941)</t>
  </si>
  <si>
    <t xml:space="preserve">120</t>
  </si>
  <si>
    <t xml:space="preserve">IV.13</t>
  </si>
  <si>
    <t xml:space="preserve">Razón reservas/depósitos del BNA: observada y dos contrafactuales, 1919-1928</t>
  </si>
  <si>
    <t xml:space="preserve">121</t>
  </si>
  <si>
    <t xml:space="preserve">V.1</t>
  </si>
  <si>
    <t xml:space="preserve">Balanza de pagos, 1928-1934</t>
  </si>
  <si>
    <t xml:space="preserve">1928-1934</t>
  </si>
  <si>
    <t xml:space="preserve">127</t>
  </si>
  <si>
    <t xml:space="preserve">V.2</t>
  </si>
  <si>
    <t xml:space="preserve">Cantidades exportadas e importadas, 1928-1934</t>
  </si>
  <si>
    <t xml:space="preserve">V.3</t>
  </si>
  <si>
    <t xml:space="preserve">Precios de comercio exterior, 1928-1934</t>
  </si>
  <si>
    <t xml:space="preserve">128</t>
  </si>
  <si>
    <t xml:space="preserve">V.4</t>
  </si>
  <si>
    <t xml:space="preserve">Dispersión base monetaria vs. reservas, dic.1929-mar.1931</t>
  </si>
  <si>
    <t xml:space="preserve">1929-1931 (mensual)</t>
  </si>
  <si>
    <t xml:space="preserve">141</t>
  </si>
  <si>
    <t xml:space="preserve">Comportamiento de reservas y billetes circulantes, dic.1929-mar.1931</t>
  </si>
  <si>
    <t xml:space="preserve">Frecuencias (16 meses)</t>
  </si>
  <si>
    <t xml:space="preserve">1929-1931</t>
  </si>
  <si>
    <t xml:space="preserve">142</t>
  </si>
  <si>
    <t xml:space="preserve">V.5</t>
  </si>
  <si>
    <t xml:space="preserve">Tipo de cambio, 1929-1934</t>
  </si>
  <si>
    <t xml:space="preserve">1929-1934 (mensual)</t>
  </si>
  <si>
    <t xml:space="preserve">V.6</t>
  </si>
  <si>
    <t xml:space="preserve">Dispersión base monetaria vs. reservas, abr.1931-oct.1931</t>
  </si>
  <si>
    <t xml:space="preserve">1931 (mensual)</t>
  </si>
  <si>
    <t xml:space="preserve">143</t>
  </si>
  <si>
    <t xml:space="preserve">Comportamiento de reservas ajustadas y billetes circulantes, abr.-oct.1931</t>
  </si>
  <si>
    <t xml:space="preserve">Frecuencias (7 meses)</t>
  </si>
  <si>
    <t xml:space="preserve">1931</t>
  </si>
  <si>
    <t xml:space="preserve">144</t>
  </si>
  <si>
    <t xml:space="preserve">V.7</t>
  </si>
  <si>
    <t xml:space="preserve">Comportamiento de los diferentes tipos de cambio</t>
  </si>
  <si>
    <t xml:space="preserve">TC del m$n contra oro, libra, dólar y franco</t>
  </si>
  <si>
    <t xml:space="preserve">Índice base ene.1929</t>
  </si>
  <si>
    <t xml:space="preserve">145</t>
  </si>
  <si>
    <t xml:space="preserve">V.8</t>
  </si>
  <si>
    <t xml:space="preserve">Dispersión base monetaria vs. activos domésticos, mar.1932-oct.1933</t>
  </si>
  <si>
    <t xml:space="preserve">1932-1933 (mensual)</t>
  </si>
  <si>
    <t xml:space="preserve">147</t>
  </si>
  <si>
    <t xml:space="preserve">Comportamiento de activos internos y billetes circulantes, mar.1932-oct.1933</t>
  </si>
  <si>
    <t xml:space="preserve">Tabla de contingencia ΔM vs. ΔA</t>
  </si>
  <si>
    <t xml:space="preserve">Frecuencias (20 meses)</t>
  </si>
  <si>
    <t xml:space="preserve">1932-1933</t>
  </si>
  <si>
    <t xml:space="preserve">V.9</t>
  </si>
  <si>
    <t xml:space="preserve">Dispersión base monetaria vs. activos domésticos, nov.1933-dic.1934</t>
  </si>
  <si>
    <t xml:space="preserve">1933-1934 (mensual)</t>
  </si>
  <si>
    <t xml:space="preserve">148</t>
  </si>
  <si>
    <t xml:space="preserve">Comportamiento de activos internos y billetes circulantes, nov.1933-dic.1934</t>
  </si>
  <si>
    <t xml:space="preserve">Frecuencias (14 meses)</t>
  </si>
  <si>
    <t xml:space="preserve">1933-1934</t>
  </si>
  <si>
    <t xml:space="preserve">149</t>
  </si>
  <si>
    <t xml:space="preserve">Tasas de crecimiento anuales y trimestrales de los depósitos, 1929-1934</t>
  </si>
  <si>
    <t xml:space="preserve">1929-1934</t>
  </si>
  <si>
    <t xml:space="preserve">V.10</t>
  </si>
  <si>
    <t xml:space="preserve">Depósitos del BNA y del resto de los bancos, 1929-1934</t>
  </si>
  <si>
    <t xml:space="preserve">153</t>
  </si>
  <si>
    <t xml:space="preserve">V.11</t>
  </si>
  <si>
    <t xml:space="preserve">Ratio reservas a depósitos, 1929-1934</t>
  </si>
  <si>
    <t xml:space="preserve">154</t>
  </si>
  <si>
    <t xml:space="preserve">V.12</t>
  </si>
  <si>
    <t xml:space="preserve">Resultados primario y financiero de la APN, 1929-1934</t>
  </si>
  <si>
    <t xml:space="preserve">155</t>
  </si>
  <si>
    <t xml:space="preserve">V.13</t>
  </si>
  <si>
    <t xml:space="preserve">Ingresos y gastos totales de la APN, 1929-1934</t>
  </si>
  <si>
    <t xml:space="preserve">Redescuentos del BNA a otros bancos, 1929-1934</t>
  </si>
  <si>
    <t xml:space="preserve">159</t>
  </si>
  <si>
    <t xml:space="preserve">V.14</t>
  </si>
  <si>
    <t xml:space="preserve">Razón reservas/depósitos del resto de los bancos (obs. y contraf.), 1929-1934</t>
  </si>
  <si>
    <t xml:space="preserve">160</t>
  </si>
  <si>
    <t xml:space="preserve">Orígenes de los fondos destinados a redescuentos, 1929-1934</t>
  </si>
  <si>
    <t xml:space="preserve">Fondos propios BNA vs. emisión de la Caja</t>
  </si>
  <si>
    <t xml:space="preserve">% del total anual</t>
  </si>
  <si>
    <t xml:space="preserve">161</t>
  </si>
  <si>
    <t xml:space="preserve">Financiamiento de corto plazo del BNA al Estado, 1929-1934</t>
  </si>
  <si>
    <t xml:space="preserve">162</t>
  </si>
  <si>
    <t xml:space="preserve">V.15</t>
  </si>
  <si>
    <t xml:space="preserve">Deuda flotante respecto de la deuda total, 1928-1934</t>
  </si>
  <si>
    <t xml:space="preserve">Participación de la deuda flotante</t>
  </si>
  <si>
    <t xml:space="preserve">% de la deuda total</t>
  </si>
  <si>
    <t xml:space="preserve">Cortés Conde (2005)</t>
  </si>
  <si>
    <t xml:space="preserve">163</t>
  </si>
  <si>
    <t xml:space="preserve">Otras fuentes de financiamiento del BNA al Estado, 1929-1934</t>
  </si>
  <si>
    <t xml:space="preserve">164</t>
  </si>
  <si>
    <t xml:space="preserve">V.16</t>
  </si>
  <si>
    <t xml:space="preserve">Resultado financiero de la Administración General (obs. y contraf.), 1929-1934</t>
  </si>
  <si>
    <t xml:space="preserve">165</t>
  </si>
  <si>
    <t xml:space="preserve">V.17</t>
  </si>
  <si>
    <t xml:space="preserve">Razón reservas/depósitos del BNA: observada y dos contrafactuales, 1929-1934</t>
  </si>
  <si>
    <t xml:space="preserve">% de depósitos</t>
  </si>
  <si>
    <t xml:space="preserve">166</t>
  </si>
  <si>
    <t xml:space="preserve">VI.1</t>
  </si>
  <si>
    <t xml:space="preserve">Destinatarios de las funciones bancocentralistas, 1914-1934</t>
  </si>
  <si>
    <t xml:space="preserve">Matriz cualitativa organismo × período</t>
  </si>
  <si>
    <t xml:space="preserve">Cualitativo</t>
  </si>
  <si>
    <t xml:space="preserve">1914-1934</t>
  </si>
  <si>
    <t xml:space="preserve">172</t>
  </si>
  <si>
    <t xml:space="preserve">VI.2</t>
  </si>
  <si>
    <t xml:space="preserve">Lista de bancos miembros del BCRA al 25/4/1935</t>
  </si>
  <si>
    <t xml:space="preserve">Nómina de bancos</t>
  </si>
  <si>
    <t xml:space="preserve">Listado</t>
  </si>
  <si>
    <t xml:space="preserve">1935</t>
  </si>
  <si>
    <t xml:space="preserve">BCRA (1936), Memoria Anual</t>
  </si>
  <si>
    <t xml:space="preserve">175</t>
  </si>
  <si>
    <t xml:space="preserve">Parcial</t>
  </si>
  <si>
    <t xml:space="preserve">VI.3</t>
  </si>
  <si>
    <t xml:space="preserve">Requisitos para redescuentos de documentos</t>
  </si>
  <si>
    <t xml:space="preserve">Requisitos legales</t>
  </si>
  <si>
    <t xml:space="preserve">Ley 12.155, art. 32. En Anales (1954)</t>
  </si>
  <si>
    <t xml:space="preserve">181</t>
  </si>
  <si>
    <t xml:space="preserve">VI.4</t>
  </si>
  <si>
    <t xml:space="preserve">Compra de activos inmovilizados por el Instituto Movilizador</t>
  </si>
  <si>
    <t xml:space="preserve">Efectivo, pagaré y total por origen</t>
  </si>
  <si>
    <t xml:space="preserve">Della Paolera y Taylor (2003: 287)</t>
  </si>
  <si>
    <t xml:space="preserve">186</t>
  </si>
  <si>
    <t xml:space="preserve">FUENTES PRIMARIAS: DE DÓNDE SALE CADA NÚMERO</t>
  </si>
  <si>
    <t xml:space="preserve">Fuente citada</t>
  </si>
  <si>
    <t xml:space="preserve">Referencia completa</t>
  </si>
  <si>
    <t xml:space="preserve">Qué series sostiene en el libro</t>
  </si>
  <si>
    <t xml:space="preserve">Accesibilidad / observaciones</t>
  </si>
  <si>
    <t xml:space="preserve">Base de datos del Apéndice
("véase Apéndice")</t>
  </si>
  <si>
    <t xml:space="preserve">Construida por la autora a partir de Baiocco, Pedro (1937), "La economía bancaria argentina", Instituto Bancario, FCE-UBA. 10 tablas, 59 variables, 420 registros mensuales (ene.1901-dic.1935), en Excel, con una tabla propia de fuentes y notas.</t>
  </si>
  <si>
    <t xml:space="preserve">Todo el núcleo monetario y bancario: tipo de cambio mensual, base monetaria, reservas metálicas, depósitos por grupo de bancos, reservas bancarias, redescuentos, nivel de liquidez, activos domésticos de la Caja. ~35 gráficos y 12 cuadros.</t>
  </si>
  <si>
    <t xml:space="preserve">ES LA PIEZA CLAVE. Link publicado: https://goo.gl/CZtJLZ (acortador Google discontinuado en 2019). Pedirla a la autora (FCE-UNC) o reconstruirla desde Baiocco (1937), que está en bibliotecas de la UBA y la UNC.</t>
  </si>
  <si>
    <t xml:space="preserve">Ferreres, Orlando (2005)</t>
  </si>
  <si>
    <t xml:space="preserve">"Dos siglos de economía argentina (1810-2004). Historia argentina en cifras". Buenos Aires: Fundación Norte y Sur / El Ateneo.</t>
  </si>
  <si>
    <t xml:space="preserve">Balanza de pagos, quantum y precios de comercio exterior, resultados primario y financiero de la APN, ingresos y gastos como % del PIB, población rural, tipo de cambio y precios 1891-1899 (Cuadro I.1). ~20 gráficos.</t>
  </si>
  <si>
    <t xml:space="preserve">Fuente estándar de series largas argentinas. Hay ediciones actualizadas (2010) y las series circulan digitalizadas.</t>
  </si>
  <si>
    <t xml:space="preserve">"Banco de la Nación Argentina en su cincuentenario". Buenos Aires: Talleres Gráficos Guillermo Kraft.</t>
  </si>
  <si>
    <t xml:space="preserve">Cuenta "Tesorería General de la Nación" (saldos deudores, límite legal, excesos), redescuentos de Letras de Tesorería, préstamos oficiales, fondos públicos, adelantos, reintegro del Fondo de Conversión. Cuadros II.4, III.5, III.6, IV.5, IV.6, V.8, V.9.</t>
  </si>
  <si>
    <t xml:space="preserve">Libro conmemorativo; disponible en la biblioteca del BCRA y del BNA. La p. 344 es citada explícitamente.</t>
  </si>
  <si>
    <t xml:space="preserve">Salama, Elías (1998)</t>
  </si>
  <si>
    <t xml:space="preserve">"El orden monetario argentino en las primeras décadas del siglo XX". Económica XLIV (4): 365-401. Dato tomado de p. 396.</t>
  </si>
  <si>
    <t xml:space="preserve">Serie anual del Fondo de Conversión depositado en el BNA, 1900-1928 (Cuadros II.2, III.2, IV.2).</t>
  </si>
  <si>
    <t xml:space="preserve">Revista Económica (UNLP), de acceso abierto en SEDICI.</t>
  </si>
  <si>
    <t xml:space="preserve">Della Paolera, G. y Taylor, A. (2003)</t>
  </si>
  <si>
    <t xml:space="preserve">"Tensando el ancla. La Caja de Conversión argentina y la búsqueda de la estabilidad macroeconómica, 1880-1935". Buenos Aires: FCE.</t>
  </si>
  <si>
    <t xml:space="preserve">Cuadro VI.4 (compra de activos inmovilizados por el Instituto Movilizador, p. 287) y varios datos de la crisis de 1890 (pp. 72, 84, 85, 104).</t>
  </si>
  <si>
    <t xml:space="preserve">Edición original en inglés: "Straining at the Anchor" (NBER/University of Chicago Press, 2001), con apéndice estadístico propio.</t>
  </si>
  <si>
    <t xml:space="preserve">Gerchunoff, Rocchi y Rossi (2008)</t>
  </si>
  <si>
    <t xml:space="preserve">"Desorden y progreso. Las crisis económicas argentinas 1870-1905". Buenos Aires: Edhasa. Datos de pp. 273 y 275.</t>
  </si>
  <si>
    <t xml:space="preserve">Arreglo de las garantías ferroviarias (Cuadro I.5) y arreglo de las deudas externas provinciales (Cuadro I.6).</t>
  </si>
  <si>
    <t xml:space="preserve">Libro comercial de amplia circulación.</t>
  </si>
  <si>
    <t xml:space="preserve">García Vizcaino, José (1972)</t>
  </si>
  <si>
    <t xml:space="preserve">"La deuda pública nacional". Buenos Aires: EUDEBA. Dato de p. 145.</t>
  </si>
  <si>
    <t xml:space="preserve">Los 14 empréstitos del Arreglo Romero de 1893 (Cuadro I.4).</t>
  </si>
  <si>
    <t xml:space="preserve">Biblioteca; edición agotada.</t>
  </si>
  <si>
    <t xml:space="preserve">Cortés Conde, Roberto (1979) y (2005)</t>
  </si>
  <si>
    <t xml:space="preserve">(1979) "El Progreso argentino, 1880-1914", Sudamericana, p. 178. (2005) "La economía política de la Argentina en el siglo XX", Edhasa.</t>
  </si>
  <si>
    <t xml:space="preserve">Superficie cultivada de la región pampeana 1880-1912 (Gráfico I.1) y deuda flotante sobre deuda total 1928-1934 (Gráfico V.15).</t>
  </si>
  <si>
    <t xml:space="preserve">Clásicos disponibles en bibliotecas universitarias.</t>
  </si>
  <si>
    <t xml:space="preserve">Vázquez Presedo, Vicente (1971)</t>
  </si>
  <si>
    <t xml:space="preserve">"Estadísticas históricas argentinas (comparadas). Primera parte, 1875-1914". Buenos Aires: Macchi. Datos de pp. 15-16, 19 y 105.</t>
  </si>
  <si>
    <t xml:space="preserve">Red ferroviaria 1880-1914 (Gráfico I.2) y datos de población de los censos de 1869, 1895 y 1914.</t>
  </si>
  <si>
    <t xml:space="preserve">Compilación estadística de referencia para el período.</t>
  </si>
  <si>
    <t xml:space="preserve">Rayes, Agustina (2014)</t>
  </si>
  <si>
    <t xml:space="preserve">"La estadística de las exportaciones argentinas, 1875-1913. Nuevas evidencias e interpretaciones". Investigaciones de Historia Económica 11 (1): 31-42.</t>
  </si>
  <si>
    <t xml:space="preserve">Exportaciones en libras esterlinas 1880-1913 (Gráfico I.4). Nota: el libro la cita como "Reyes (2014)" al pie del gráfico.</t>
  </si>
  <si>
    <t xml:space="preserve">Artículo de revista, acceso abierto vía Elsevier/AEHE. Corrige las series oficiales tradicionales.</t>
  </si>
  <si>
    <t xml:space="preserve">Legislación (Anales de Legislación Argentina)</t>
  </si>
  <si>
    <t xml:space="preserve">República Argentina (1953 y 1954), "Anales de Legislación Argentina", complementos 1889-1919 y 1920-1940. Editorial La Ley.</t>
  </si>
  <si>
    <t xml:space="preserve">Todas las leyes citadas: 2741, 2841, 3062, 3505, 3871, 4507, 9479, 9480, 9484, 9577, 10.251, 10.350, 12.155, 12.156, 12.157.</t>
  </si>
  <si>
    <t xml:space="preserve">Es la fuente de los parámetros institucionales (encajes, topes, respaldos). Útil para datar cambios de régimen.</t>
  </si>
  <si>
    <t xml:space="preserve">Memorias oficiales</t>
  </si>
  <si>
    <t xml:space="preserve">Caja de Conversión, Memorias 1929 y 1930-1931. BCRA, Memorias Anuales 1935 y 1936. HCDN (1935), "Proyectos de Ley sobre bancos y moneda: comparativo".</t>
  </si>
  <si>
    <t xml:space="preserve">Cuadro VI.2 (bancos miembros del BCRA), comparación del proyecto Niemeyer con la Ley 12.155, y detalles del control de cambios.</t>
  </si>
  <si>
    <t xml:space="preserve">Las Memorias del BCRA están digitalizadas en el repositorio del BCRA.</t>
  </si>
  <si>
    <t xml:space="preserve">Cuadro I.1 — Tipo de cambio y nivel de precios, 1891-1899</t>
  </si>
  <si>
    <t xml:space="preserve">Libro p. 27. Fuente declarada: Ferreres (2005).</t>
  </si>
  <si>
    <t xml:space="preserve">Año</t>
  </si>
  <si>
    <t xml:space="preserve">Tipo de cambio
(m$n por $ oro, prom. anual)</t>
  </si>
  <si>
    <t xml:space="preserve">Nivel de precios
(IPC, 1886=100)</t>
  </si>
  <si>
    <t xml:space="preserve">Contexto (libro pp. 26-29): los precios cayeron 6,1% promedio anual en el escenario deflacionario; la Ley 3871 del 31/10/1899 fijó la convertibilidad a 2,27 m$n por peso oro (44 centavos oro por peso papel), no a la paridad 1 a 1 de la Ley 2741 de 1890.</t>
  </si>
  <si>
    <t xml:space="preserve">Cuadros I.4, I.5 y I.6 — La refinanciación de la deuda externa de los años noventa</t>
  </si>
  <si>
    <t xml:space="preserve">Cuadro I.4. Empréstitos incluidos en el Arreglo Romero, 1893 — en libras esterlinas</t>
  </si>
  <si>
    <t xml:space="preserve">Libro p. 47. Fuente: García Vizcaino (1972: 145).</t>
  </si>
  <si>
    <t xml:space="preserve">Designación del empréstito</t>
  </si>
  <si>
    <t xml:space="preserve">Cantidad en circulación (£)</t>
  </si>
  <si>
    <t xml:space="preserve">1. Empréstito 5% 1886</t>
  </si>
  <si>
    <t xml:space="preserve">2. Empréstito Aguas Corrientes, 5%</t>
  </si>
  <si>
    <t xml:space="preserve">3. Empréstito Consolidado, 6% (1891)</t>
  </si>
  <si>
    <t xml:space="preserve">4. Empréstito Ferrocarril, 6%, 1881</t>
  </si>
  <si>
    <t xml:space="preserve">5. Empréstito 1824, 6%</t>
  </si>
  <si>
    <t xml:space="preserve">6. Empréstito 5%, 1884</t>
  </si>
  <si>
    <t xml:space="preserve">7. F. Central Norte, 5%</t>
  </si>
  <si>
    <t xml:space="preserve">8. Billetes Tesoro, 5%, 1887</t>
  </si>
  <si>
    <t xml:space="preserve">9. F.C. Norte, 2da Serie</t>
  </si>
  <si>
    <t xml:space="preserve">10. Banco Nacional, 5%, 1887</t>
  </si>
  <si>
    <t xml:space="preserve">11. Puerto Buenos Aires, 5%</t>
  </si>
  <si>
    <t xml:space="preserve">12. Deuda Interna, 1888, 4,5% (cotización Londres)</t>
  </si>
  <si>
    <t xml:space="preserve">13. Conversión Externa, 4,5%</t>
  </si>
  <si>
    <t xml:space="preserve">14. Conversión Externa, 3,5%</t>
  </si>
  <si>
    <t xml:space="preserve">TOTAL</t>
  </si>
  <si>
    <t xml:space="preserve">Total publicado en el libro: 44.152.875 libras (equivalentes a 222,5 millones de pesos oro, libro p. 46).</t>
  </si>
  <si>
    <t xml:space="preserve">Cuadro I.5. El arreglo de las garantías ferroviarias</t>
  </si>
  <si>
    <t xml:space="preserve">Libro p. 49. Fuente: Gerchunoff, Rocchi y Rossi (2008: 275). Garantía en %, plazo en años, títulos en millones de pesos oro.</t>
  </si>
  <si>
    <t xml:space="preserve">Ferrocarril</t>
  </si>
  <si>
    <t xml:space="preserve">Fecha de la ley original</t>
  </si>
  <si>
    <t xml:space="preserve">Garantía (%)</t>
  </si>
  <si>
    <t xml:space="preserve">Plazo (años)</t>
  </si>
  <si>
    <t xml:space="preserve">Fecha del arreglo</t>
  </si>
  <si>
    <t xml:space="preserve">Títulos 4,5% emitidos
(mill. $ oro)</t>
  </si>
  <si>
    <t xml:space="preserve">Buenos Aires al Pacífico</t>
  </si>
  <si>
    <t xml:space="preserve">05/11/1872</t>
  </si>
  <si>
    <t xml:space="preserve">19/11/1895</t>
  </si>
  <si>
    <t xml:space="preserve">Gran Oeste Argentino</t>
  </si>
  <si>
    <t xml:space="preserve">ago-96</t>
  </si>
  <si>
    <t xml:space="preserve">Trasandino</t>
  </si>
  <si>
    <t xml:space="preserve">oct-97</t>
  </si>
  <si>
    <t xml:space="preserve">Argentino del Este</t>
  </si>
  <si>
    <t xml:space="preserve">12/08/1869</t>
  </si>
  <si>
    <t xml:space="preserve">23/11/1895</t>
  </si>
  <si>
    <t xml:space="preserve">Nordeste Argentino</t>
  </si>
  <si>
    <t xml:space="preserve">04/11/1886</t>
  </si>
  <si>
    <t xml:space="preserve">12/11/1895</t>
  </si>
  <si>
    <t xml:space="preserve">Villa María a Rufino</t>
  </si>
  <si>
    <t xml:space="preserve">06/09/1886</t>
  </si>
  <si>
    <t xml:space="preserve">21/11/1895</t>
  </si>
  <si>
    <t xml:space="preserve">Noroeste Argentino</t>
  </si>
  <si>
    <t xml:space="preserve">15/10/1887</t>
  </si>
  <si>
    <t xml:space="preserve">09/11/1895</t>
  </si>
  <si>
    <t xml:space="preserve">Bahía Blanca y Noroeste</t>
  </si>
  <si>
    <t xml:space="preserve">05/10/1887</t>
  </si>
  <si>
    <t xml:space="preserve">01/10/1895</t>
  </si>
  <si>
    <t xml:space="preserve">Central Córdoba</t>
  </si>
  <si>
    <t xml:space="preserve">28/10/1887 - 04/08/1888</t>
  </si>
  <si>
    <t xml:space="preserve">11/05/1898</t>
  </si>
  <si>
    <t xml:space="preserve">San Cristóbal a Tucumán</t>
  </si>
  <si>
    <t xml:space="preserve">21/10/1887</t>
  </si>
  <si>
    <t xml:space="preserve">09/04/1895</t>
  </si>
  <si>
    <t xml:space="preserve">Total publicado en el libro: 50,8 millones de pesos oro.</t>
  </si>
  <si>
    <t xml:space="preserve">Cuadro I.6. El arreglo de las deudas externas provinciales — millones de pesos oro</t>
  </si>
  <si>
    <t xml:space="preserve">Libro p. 51. Fuente: Gerchunoff, Rocchi y Rossi (2008: 273).</t>
  </si>
  <si>
    <t xml:space="preserve">Provincia</t>
  </si>
  <si>
    <t xml:space="preserve">Acuerdo con acreedores externos</t>
  </si>
  <si>
    <t xml:space="preserve">Títulos emitidos por la Nación
(mill. $ oro)</t>
  </si>
  <si>
    <t xml:space="preserve">Buenos Aires</t>
  </si>
  <si>
    <t xml:space="preserve">15/09/1897</t>
  </si>
  <si>
    <t xml:space="preserve">Córdoba</t>
  </si>
  <si>
    <t xml:space="preserve">13/07/1899</t>
  </si>
  <si>
    <t xml:space="preserve">Entre Ríos</t>
  </si>
  <si>
    <t xml:space="preserve">1898</t>
  </si>
  <si>
    <t xml:space="preserve">Santa Fe</t>
  </si>
  <si>
    <t xml:space="preserve">19/01/1899</t>
  </si>
  <si>
    <t xml:space="preserve">Catamarca</t>
  </si>
  <si>
    <t xml:space="preserve">10/07/1899</t>
  </si>
  <si>
    <t xml:space="preserve">Corrientes</t>
  </si>
  <si>
    <t xml:space="preserve">20/08/1898</t>
  </si>
  <si>
    <t xml:space="preserve">Mendoza</t>
  </si>
  <si>
    <t xml:space="preserve">19/06/1900</t>
  </si>
  <si>
    <t xml:space="preserve">San Luis</t>
  </si>
  <si>
    <t xml:space="preserve">San Juan</t>
  </si>
  <si>
    <t xml:space="preserve">06/07/1899</t>
  </si>
  <si>
    <t xml:space="preserve">Tucumán</t>
  </si>
  <si>
    <t xml:space="preserve">20/07/1899</t>
  </si>
  <si>
    <t xml:space="preserve">Total publicado en el libro: 89,8 millones de pesos oro (el texto de la p. 50 dice 89,6). La suma de la columna da 89,8 — la discrepancia está en el original.</t>
  </si>
  <si>
    <t xml:space="preserve">Fondo de Conversión depositado en el BNA, 1900-1928 — millones de pesos oro</t>
  </si>
  <si>
    <t xml:space="preserve">Empalme de los Cuadros II.2 (p. 62), III.2 (p. 84) y IV.2 (p. 108). Fuente declarada en los tres: Salama (1998: 396).</t>
  </si>
  <si>
    <t xml:space="preserve">Fondo de Conversión
(mill. $ oro)</t>
  </si>
  <si>
    <t xml:space="preserve">Hecho relevante</t>
  </si>
  <si>
    <t xml:space="preserve">Entrada de hecho al patrón oro (oct. 1902)</t>
  </si>
  <si>
    <t xml:space="preserve">Máximo del período; respaldo del 73% de la base monetaria en 1913</t>
  </si>
  <si>
    <t xml:space="preserve">Se movilizan 20 mill. $ oro (45,45 mill. m$n) para el salvataje bancario, Ley 9479</t>
  </si>
  <si>
    <t xml:space="preserve">Se movilizan los 10 mill. remanentes para pagar servicios de deuda externa</t>
  </si>
  <si>
    <t xml:space="preserve">Devolución parcial</t>
  </si>
  <si>
    <t xml:space="preserve">Reintegro total con la vuelta a la convertibilidad (ago. 1927)</t>
  </si>
  <si>
    <t xml:space="preserve">El libro no publica el dato para 1929-1935. Texto p. 110: en nov. 1929 el Fondo (30 mill. $ oro) más 437 mill. $ oro en el activo de la Caja daban un respaldo del 84% de los billetes en circulación. Texto p. 144: en 1931 el Fondo se movilizó prácticamente en su totalidad (30 mill. $ oro) para pagar el 50% de los servicios de la deuda de 2,5 mill. de libras contraída en 1929 con Baring Brothers y J. Morgan Grenfell.</t>
  </si>
  <si>
    <t xml:space="preserve">Redescuentos del BNA a otros bancos, 1908-1934</t>
  </si>
  <si>
    <t xml:space="preserve">Empalme de los Cuadros II.3 (p. 66), III.4 (p. 92), IV.4 (p. 115) y V.6 (p. 159). Fuente declarada: base de datos del Apéndice (Baiocco, 1937) y BNA (1941) para 1908-1913. "Otros bancos" = bancos nacionales excluido el BNA + bancos extranjeros.</t>
  </si>
  <si>
    <t xml:space="preserve">Redescuentos del BNA
(mill. m$n)</t>
  </si>
  <si>
    <t xml:space="preserve">Redescuentos / reservas
de los otros bancos</t>
  </si>
  <si>
    <t xml:space="preserve">Notas del libro: en 1914 los 43,2 mill. provienen del Fondo de Conversión (se movilizaron 45,45 mill. m$n; la diferencia del 5% pudo usarse para descontar documentos del propio BNA). En 1918-1920 el libro registra un guion "–", transcripto acá como 0. El salto de 1923 corresponde al rescate del Banco Español del Río de la Plata.</t>
  </si>
  <si>
    <t xml:space="preserve">Financiamiento de corto plazo del BNA al Estado, 1900-1934 — millones de m$n</t>
  </si>
  <si>
    <t xml:space="preserve">Empalme de los Cuadros II.4 (p. 68), III.5 (p. 94), IV.5 (p. 117) y V.8 (p. 162). Fuente declarada en los cuatro: BNA (1941). Celda vacía = el libro no publica el dato (no es cero).</t>
  </si>
  <si>
    <t xml:space="preserve">Saldos deudores
Cta. Tesorería Gral.</t>
  </si>
  <si>
    <t xml:space="preserve">Límite legal</t>
  </si>
  <si>
    <t xml:space="preserve">Excesos</t>
  </si>
  <si>
    <t xml:space="preserve">Redescuentos de
Letras de Tesorería</t>
  </si>
  <si>
    <t xml:space="preserve">El límite legal deriva de la Ley 4507 de 1904: el saldo negativo no podía superar el 20% del capital del Banco. Los redescuentos de Letras de Tesorería fueron la vía para sortear esa restricción: jurídicamente la deuda no aparecía a nombre del Estado (deuda indirecta). Máximos: 112,5 mill. en 1917, 281,5 en 1924 y 303,2 en 1931 (pico de toda la serie).</t>
  </si>
  <si>
    <t xml:space="preserve">Otras fuentes de financiamiento del BNA al Estado, 1900-1934 — millones de m$n</t>
  </si>
  <si>
    <t xml:space="preserve">Empalme de los Cuadros II.4 (columna fondos públicos, p. 68), III.6 (p. 95), IV.6 (p. 118) y V.9 (p. 164). Fuente declarada: BNA (1941). s/d = sin dato en el original.</t>
  </si>
  <si>
    <t xml:space="preserve">Préstamos oficiales</t>
  </si>
  <si>
    <t xml:space="preserve">Fondos públicos</t>
  </si>
  <si>
    <t xml:space="preserve">Adelantos</t>
  </si>
  <si>
    <t xml:space="preserve">Reintegro del
Fondo de Conversión</t>
  </si>
  <si>
    <t xml:space="preserve">Hitos legales: Ley 10.251 de 1917 autorizó un préstamo de 73,49 mill. m$n al Estado; Ley 10.350 de 1918, un crédito extraordinario de 200 mill. de pesos oro = 454,54 mill. m$n. El reintegro del Fondo de Conversión de 15.909.090,91 m$n al 5% anual (acuerdo del 2/9/1927) se mantuvo hasta 1935. Los fondos públicos alcanzaron su máximo en 1931 (60,4 mill.).</t>
  </si>
  <si>
    <t xml:space="preserve">Cuadro III.3 — Tasas de crecimiento de los depósitos, 1913-1915</t>
  </si>
  <si>
    <t xml:space="preserve">Libro p. 86. Fuente: base de datos del Apéndice (Baiocco, 1937). Todas las variables en pesos moneda nacional. El total es la suma de BNA + bancos nacionales + bancos extranjeros.</t>
  </si>
  <si>
    <t xml:space="preserve">Banco Nación</t>
  </si>
  <si>
    <t xml:space="preserve">Bancos nacionales
(excl. BNA)</t>
  </si>
  <si>
    <t xml:space="preserve">Bancos extranjeros</t>
  </si>
  <si>
    <t xml:space="preserve">Total de bancos</t>
  </si>
  <si>
    <t xml:space="preserve">1914 (total)</t>
  </si>
  <si>
    <t xml:space="preserve">I trim 1914</t>
  </si>
  <si>
    <t xml:space="preserve">II trim 1914</t>
  </si>
  <si>
    <t xml:space="preserve">III trim 1914</t>
  </si>
  <si>
    <t xml:space="preserve">IV trim 1914</t>
  </si>
  <si>
    <t xml:space="preserve">1915 (total)</t>
  </si>
  <si>
    <t xml:space="preserve">I trim 1915</t>
  </si>
  <si>
    <t xml:space="preserve">II trim 1915</t>
  </si>
  <si>
    <t xml:space="preserve">III trim 1915</t>
  </si>
  <si>
    <t xml:space="preserve">IV trim 1915</t>
  </si>
  <si>
    <t xml:space="preserve">Contexto (libro pp. 84-87): en el III trimestre de 1914 la razón circulante/depósitos subió 26% y la caída total de depósitos fue del 12%. La corrida golpeó a los bancos nacionales (-23,51%), menos a los extranjeros (-8,86%) y casi nada al BNA (-2,01%).</t>
  </si>
  <si>
    <t xml:space="preserve">Cuadro V.5 — Tasas de crecimiento de los depósitos, 1929-1934</t>
  </si>
  <si>
    <t xml:space="preserve">Libro pp. 149-151. Fuente: base de datos del Apéndice (Baiocco, 1937). Depósitos en pesos papel. "Pérdida total" = tasa de crecimiento promedio anual (multiplicatorio de las tasas trimestrales).</t>
  </si>
  <si>
    <t xml:space="preserve">1929 (total)</t>
  </si>
  <si>
    <t xml:space="preserve">I trim 1929</t>
  </si>
  <si>
    <t xml:space="preserve">II trim 1929</t>
  </si>
  <si>
    <t xml:space="preserve">III trim 1929</t>
  </si>
  <si>
    <t xml:space="preserve">IV trim 1929</t>
  </si>
  <si>
    <t xml:space="preserve">1930 (total)</t>
  </si>
  <si>
    <t xml:space="preserve">I trim 1930</t>
  </si>
  <si>
    <t xml:space="preserve">II trim 1930</t>
  </si>
  <si>
    <t xml:space="preserve">III trim 1930</t>
  </si>
  <si>
    <t xml:space="preserve">IV trim 1930</t>
  </si>
  <si>
    <t xml:space="preserve">1931 (total)</t>
  </si>
  <si>
    <t xml:space="preserve">I trim 1931</t>
  </si>
  <si>
    <t xml:space="preserve">II trim 1931</t>
  </si>
  <si>
    <t xml:space="preserve">III trim 1931</t>
  </si>
  <si>
    <t xml:space="preserve">IV trim 1931</t>
  </si>
  <si>
    <t xml:space="preserve">1932 (total)</t>
  </si>
  <si>
    <t xml:space="preserve">I trim 1932</t>
  </si>
  <si>
    <t xml:space="preserve">II trim 1932</t>
  </si>
  <si>
    <t xml:space="preserve">III trim 1932</t>
  </si>
  <si>
    <t xml:space="preserve">IV trim 1932</t>
  </si>
  <si>
    <t xml:space="preserve">1933 (total)</t>
  </si>
  <si>
    <t xml:space="preserve">I trim 1933</t>
  </si>
  <si>
    <t xml:space="preserve">II trim 1933</t>
  </si>
  <si>
    <t xml:space="preserve">III trim 1933</t>
  </si>
  <si>
    <t xml:space="preserve">IV trim 1933</t>
  </si>
  <si>
    <t xml:space="preserve">1934 (total)</t>
  </si>
  <si>
    <t xml:space="preserve">I trim 1934</t>
  </si>
  <si>
    <t xml:space="preserve">II trim 1934</t>
  </si>
  <si>
    <t xml:space="preserve">III trim 1934</t>
  </si>
  <si>
    <t xml:space="preserve">IV trim 1934</t>
  </si>
  <si>
    <t xml:space="preserve">Lectura del libro (pp. 151-152): entre 1929 y 1931 la corrida se centró en el BNA (-16,8% acumulado) y los otros bancos nacionales (-12,3%); en 1932 el más afectado fue el grupo de bancos nacionales (-5,2%); en 1933-34 la corrida se desplazó a los bancos extranjeros (-18,6% acumulado).</t>
  </si>
  <si>
    <t xml:space="preserve">Cuadro V.7 — Origen de los fondos destinados a redescuentos a otros bancos, 1929-1934</t>
  </si>
  <si>
    <t xml:space="preserve">Libro p. 161. Fuente: base de datos del Apéndice (Baiocco, 1937). Porcentaje del total de redescuentos de cada año.</t>
  </si>
  <si>
    <t xml:space="preserve">Fondos propios del BNA</t>
  </si>
  <si>
    <t xml:space="preserve">Emisión de la Caja de Conversión</t>
  </si>
  <si>
    <t xml:space="preserve">Este cuadro documenta el punto central del libro: a partir de abril de 1931 la Caja de Conversión asumió de hecho la función de prestamista de última instancia, emitiendo papel moneda contra redescuentos. El BCRA de 1935 institucionalizó una práctica que ya llevaba cuatro años.</t>
  </si>
  <si>
    <t xml:space="preserve">Ratio reservas/depósitos por período: observado y contrafactual</t>
  </si>
  <si>
    <t xml:space="preserve">Serie CONSTRUIDA por mí a partir de los valores promedio que el libro da en el texto (no existe como cuadro en el libro). Páginas en la última columna. Fuente última: base de datos del Apéndice (Baiocco, 1937) y BNA (1941).</t>
  </si>
  <si>
    <t xml:space="preserve">BNA observado</t>
  </si>
  <si>
    <t xml:space="preserve">BNA sin redescuentos
a otros bancos</t>
  </si>
  <si>
    <t xml:space="preserve">BNA sin financiamiento
al Estado</t>
  </si>
  <si>
    <t xml:space="preserve">Resto de bancos
observado</t>
  </si>
  <si>
    <t xml:space="preserve">Resto de bancos
sin redescuentos</t>
  </si>
  <si>
    <t xml:space="preserve">Pág. libro</t>
  </si>
  <si>
    <t xml:space="preserve">El Progreso, 1908-1913</t>
  </si>
  <si>
    <t xml:space="preserve">62, 64</t>
  </si>
  <si>
    <t xml:space="preserve">Gran Guerra, 1914-1918</t>
  </si>
  <si>
    <t xml:space="preserve">89, 92, 97</t>
  </si>
  <si>
    <t xml:space="preserve">Años veinte, 1919-1928</t>
  </si>
  <si>
    <t xml:space="preserve">112, 115, 120</t>
  </si>
  <si>
    <t xml:space="preserve">Gran Depresión, 1929-1934</t>
  </si>
  <si>
    <t xml:space="preserve">154, 159, 165</t>
  </si>
  <si>
    <t xml:space="preserve">Lectura: la liquidez del BNA cae de 48% a 15% entre el Progreso y la Depresión. Los contrafactuales muestran que el peso del deterioro vino del financiamiento al Estado (32 puntos porcentuales en 1929-1934), no de los redescuentos a otros bancos (6 puntos). Ese es el argumento del capítulo VII.3.</t>
  </si>
  <si>
    <t xml:space="preserve">Crecimiento de los depósitos reales y su variabilidad, por período</t>
  </si>
  <si>
    <t xml:space="preserve">Serie CONSTRUIDA a partir de los valores que el libro da en el texto. Depósitos deflactados por la tasa de interés. Fuente última: base de datos del Apéndice (Baiocco, 1937).</t>
  </si>
  <si>
    <t xml:space="preserve">BNA: crecimiento
promedio anual</t>
  </si>
  <si>
    <t xml:space="preserve">BNA: variabilidad</t>
  </si>
  <si>
    <t xml:space="preserve">Resto de bancos:
crecimiento prom. anual</t>
  </si>
  <si>
    <t xml:space="preserve">Resto de bancos:
variabilidad</t>
  </si>
  <si>
    <t xml:space="preserve">62-64</t>
  </si>
  <si>
    <t xml:space="preserve">88-89</t>
  </si>
  <si>
    <t xml:space="preserve">Gran Depresión, fase descendente</t>
  </si>
  <si>
    <t xml:space="preserve">Gran Depresión, fase ascendente</t>
  </si>
  <si>
    <t xml:space="preserve">Sub-períodos parciales que el libro también reporta: BNA 2,30% promedio anual entre 1919 y 1924, con un deterioro del ratio reservas/depósitos del 46,69% entre 1921 y 1924; resto de bancos 1,1% en los primeros años de la década, con una caída del 30% del ratio en 1924 (p. 111).</t>
  </si>
  <si>
    <t xml:space="preserve">Balanza de pagos: valores medios y medianos por subperíodo — millones de dólares</t>
  </si>
  <si>
    <t xml:space="preserve">Los gráficos II.1, III.1, IV.1 y V.1 no publican tabla. Estos son los valores que la autora cita en el texto. Fuente última de todos: Ferreres (2005).</t>
  </si>
  <si>
    <t xml:space="preserve">Subperíodo</t>
  </si>
  <si>
    <t xml:space="preserve">Exportaciones</t>
  </si>
  <si>
    <t xml:space="preserve">Importaciones</t>
  </si>
  <si>
    <t xml:space="preserve">Cuenta capital</t>
  </si>
  <si>
    <t xml:space="preserve">Saldo de la balanza</t>
  </si>
  <si>
    <t xml:space="preserve">Tipo de estadístico y observaciones</t>
  </si>
  <si>
    <t xml:space="preserve">1901-1909</t>
  </si>
  <si>
    <t xml:space="preserve">Media de la cuenta capital</t>
  </si>
  <si>
    <t xml:space="preserve">1910-1913</t>
  </si>
  <si>
    <t xml:space="preserve">Mediana del saldo. Exportaciones +10% y importaciones +12% promedio anual</t>
  </si>
  <si>
    <t xml:space="preserve">1914</t>
  </si>
  <si>
    <t xml:space="preserve">72</t>
  </si>
  <si>
    <t xml:space="preserve">Cuenta capital -47,72% y exportaciones -22,02% respecto de 1913</t>
  </si>
  <si>
    <t xml:space="preserve">1915-1918</t>
  </si>
  <si>
    <t xml:space="preserve">74-75</t>
  </si>
  <si>
    <t xml:space="preserve">Medianas. Importaciones +13% promedio anual</t>
  </si>
  <si>
    <t xml:space="preserve">1919-1920</t>
  </si>
  <si>
    <t xml:space="preserve">102</t>
  </si>
  <si>
    <t xml:space="preserve">Medias</t>
  </si>
  <si>
    <t xml:space="preserve">1921-1924</t>
  </si>
  <si>
    <t xml:space="preserve">102-103</t>
  </si>
  <si>
    <t xml:space="preserve">Medianas</t>
  </si>
  <si>
    <t xml:space="preserve">1925-1928</t>
  </si>
  <si>
    <t xml:space="preserve">1929</t>
  </si>
  <si>
    <t xml:space="preserve">126, 130</t>
  </si>
  <si>
    <t xml:space="preserve">Valores anuales. Exportaciones -10,7% por precio; cuenta capital cae desde 125,11 en 1928</t>
  </si>
  <si>
    <t xml:space="preserve">1930</t>
  </si>
  <si>
    <t xml:space="preserve">Valores anuales. Desaceleración de la salida de reservas del 85,9%</t>
  </si>
  <si>
    <t xml:space="preserve">Exportaciones -43,9% e importaciones -25,3%</t>
  </si>
  <si>
    <t xml:space="preserve">1932-1934</t>
  </si>
  <si>
    <t xml:space="preserve">129</t>
  </si>
  <si>
    <t xml:space="preserve">Mediana. Cuenta capital: 15,18 (1932), 91,56 (1933), -11,7 (1934)</t>
  </si>
  <si>
    <t xml:space="preserve">ADVERTENCIA: la autora alterna medias y medianas según el subperíodo, y los subperíodos se solapan entre capítulos (1913 y 1928 aparecen dos veces). No usar esta hoja como serie continua: sirve para verificar contra Ferreres (2005), que es la fuente de la que hay que bajar la serie anual completa.</t>
  </si>
  <si>
    <t xml:space="preserve">MODELOS ECONOMÉTRICOS DEL LIBRO</t>
  </si>
  <si>
    <t xml:space="preserve">Cuadro I.2. Valor de las exportaciones y superficie cultivada</t>
  </si>
  <si>
    <t xml:space="preserve">Libro p. 38. Variable dependiente: EXPO. Estadísticos t en valor absoluto entre paréntesis.</t>
  </si>
  <si>
    <t xml:space="preserve">Concepto</t>
  </si>
  <si>
    <t xml:space="preserve">Valor</t>
  </si>
  <si>
    <t xml:space="preserve">SUPCULT(-1)</t>
  </si>
  <si>
    <t xml:space="preserve">4,26 (23,6)</t>
  </si>
  <si>
    <t xml:space="preserve">C</t>
  </si>
  <si>
    <t xml:space="preserve">7,43 (4,6)</t>
  </si>
  <si>
    <t xml:space="preserve">Número de observaciones</t>
  </si>
  <si>
    <t xml:space="preserve">R cuadrado</t>
  </si>
  <si>
    <t xml:space="preserve">Media de la variable dependiente</t>
  </si>
  <si>
    <t xml:space="preserve">Error estándar de la regresión</t>
  </si>
  <si>
    <t xml:space="preserve">Estadístico Durbin-Watson</t>
  </si>
  <si>
    <t xml:space="preserve">Test Dickey-Fuller para los residuos</t>
  </si>
  <si>
    <t xml:space="preserve">-4,8 (0,0001)</t>
  </si>
  <si>
    <t xml:space="preserve">Prueba Jarque-Bera</t>
  </si>
  <si>
    <t xml:space="preserve">4,72 (0,09)</t>
  </si>
  <si>
    <t xml:space="preserve">Interpretación del libro: el crecimiento de las exportaciones obedecía al aumento de la superficie cultivada, con un rezago de un año.</t>
  </si>
  <si>
    <t xml:space="preserve">Cuadro I.3. Superficie cultivada, líneas férreas y población rural</t>
  </si>
  <si>
    <t xml:space="preserve">Libro p. 40. Variable dependiente: LOGSUPCULT. Todas las variables en logaritmos.</t>
  </si>
  <si>
    <t xml:space="preserve">LOGVFERREAS(-1)</t>
  </si>
  <si>
    <t xml:space="preserve">0,381292 (2,141468)</t>
  </si>
  <si>
    <t xml:space="preserve">LOGVFERREAS(-11)</t>
  </si>
  <si>
    <t xml:space="preserve">0,564148 (16,02328)</t>
  </si>
  <si>
    <t xml:space="preserve">LOGPOBLACIONRURAL</t>
  </si>
  <si>
    <t xml:space="preserve">1,290844 (2,764334)</t>
  </si>
  <si>
    <t xml:space="preserve">-11,22961 (-5,022341)</t>
  </si>
  <si>
    <t xml:space="preserve">-3,928957 (0,0086)</t>
  </si>
  <si>
    <t xml:space="preserve">0,068939 (0,351435)</t>
  </si>
  <si>
    <t xml:space="preserve">Test Breusch-Godfrey</t>
  </si>
  <si>
    <t xml:space="preserve">2,323553 (0,1300)</t>
  </si>
  <si>
    <t xml:space="preserve">Test White (heterocedasticidad)</t>
  </si>
  <si>
    <t xml:space="preserve">0,737660 (0,6449)</t>
  </si>
  <si>
    <t xml:space="preserve">Interpretación del libro: efecto del ferrocarril con rezago de 1 año (0,38) y otro mayor con rezago de 11 años (0,56).</t>
  </si>
  <si>
    <t xml:space="preserve">Cuadro II.1. Base monetaria y reservas metálicas, oct.1902-jul.1914</t>
  </si>
  <si>
    <t xml:space="preserve">Libro p. 61. Variaciones mensuales (primera diferencia), MCO. Reservas valuadas a la paridad 2,27 pesos papel por peso oro.</t>
  </si>
  <si>
    <t xml:space="preserve">Total de observaciones</t>
  </si>
  <si>
    <t xml:space="preserve">Meses con Δres &gt; 0</t>
  </si>
  <si>
    <t xml:space="preserve">Meses con Δres &lt; 0</t>
  </si>
  <si>
    <t xml:space="preserve">Coeficiente estimado</t>
  </si>
  <si>
    <t xml:space="preserve">Error estándar</t>
  </si>
  <si>
    <t xml:space="preserve">Interpretación: relación uno a uno entre base monetaria y reservas. La Caja siguió estrictamente el principio de la Currency School; la política monetaria fue endógena.</t>
  </si>
  <si>
    <t xml:space="preserve">Cuadro IV.3. Base monetaria y reservas metálicas, ago.1927-nov.1929</t>
  </si>
  <si>
    <t xml:space="preserve">Libro p. 110. Variaciones mensuales (primera diferencia), MCG. p-values entre paréntesis.</t>
  </si>
  <si>
    <t xml:space="preserve">Coeficiente β estimado (MCG)</t>
  </si>
  <si>
    <t xml:space="preserve">T observado (H0: β=0)</t>
  </si>
  <si>
    <t xml:space="preserve">1391,56 (&lt;0,0001)</t>
  </si>
  <si>
    <t xml:space="preserve">T observado (H0: β=1)</t>
  </si>
  <si>
    <t xml:space="preserve">0,00862 (0,993)</t>
  </si>
  <si>
    <t xml:space="preserve">Interpretación: en el breve retorno al patrón de cambio oro (ago.1927-nov.1929) la relación uno a uno se mantuvo con una precisión aún mayor.</t>
  </si>
  <si>
    <t xml:space="preserve">TABLAS DE CONTINGENCIA: ¿la Caja de Conversión respetó la regla?</t>
  </si>
  <si>
    <t xml:space="preserve">Frecuencia de meses según el signo de la variación de la base monetaria (ΔM) y de las reservas de oro (ΔR) o de los activos internos (ΔA). Fuente de los seis cuadros: base de datos del Apéndice (Baiocco, 1937). Transcriptos desde la imagen de la página, porque en el PDF son gráficos.</t>
  </si>
  <si>
    <t xml:space="preserve">Cuadro III.1. Agosto 1914 - diciembre 1918 (53 meses)</t>
  </si>
  <si>
    <t xml:space="preserve">Libro p. 82. Filas: variación del oro.</t>
  </si>
  <si>
    <t xml:space="preserve">Variación del oro</t>
  </si>
  <si>
    <t xml:space="preserve">ΔM &lt; 0</t>
  </si>
  <si>
    <t xml:space="preserve">ΔM = 0</t>
  </si>
  <si>
    <t xml:space="preserve">ΔM &gt; 0</t>
  </si>
  <si>
    <t xml:space="preserve">Total</t>
  </si>
  <si>
    <t xml:space="preserve">ΔR &lt; 0</t>
  </si>
  <si>
    <t xml:space="preserve">ΔR = 0</t>
  </si>
  <si>
    <t xml:space="preserve">ΔR &gt; 0</t>
  </si>
  <si>
    <t xml:space="preserve">Texto p. 82: de 18 casos de variación negativa de reservas, 16 (90%) fueron acompañados por constancia en los billetes; de 34 casos de variación positiva, 20 (59%). De los 14 meses con ΔM&gt;0 y ΔR&gt;0: |ΔM|&gt;|ΔR| en 6, iguales en 3, |ΔM|&lt;|ΔR| en 5.</t>
  </si>
  <si>
    <t xml:space="preserve">Cuadro IV.1. Enero 1919 - julio 1927 (103 meses)</t>
  </si>
  <si>
    <t xml:space="preserve">Libro p. 106. Filas: variación del oro.</t>
  </si>
  <si>
    <t xml:space="preserve">Texto p. 105: de 45 casos de variación negativa de reservas, 37 (82%) con constancia en billetes; de 56 positivas, 40 (71%). De los 6 meses con ΔM&lt;0 y ΔR&lt;0: |ΔM|&gt;|ΔR| en 4, iguales en 1, menor en 1. De los 11 con ambos positivos: 5, 3 y 3.</t>
  </si>
  <si>
    <t xml:space="preserve">Cuadro V.1. Diciembre 1929 - marzo 1931 (16 meses)</t>
  </si>
  <si>
    <t xml:space="preserve">Libro p. 142. Filas: variación del oro. Ya suspendida la convertibilidad (dic. 1929).</t>
  </si>
  <si>
    <t xml:space="preserve">Texto p. 141: de 16 casos, 10 (63%) fueron variaciones negativas de reservas; de esos 10, en 9 (90%) también cayeron los billetes; y de esos 9, en 8 (89%) la caída de reservas fue mayor en valor absoluto que la de billetes. El alza del tipo de cambio (74% entre diciembre de 1929 y octubre de 1931) atenuó el efecto sobre los billetes.</t>
  </si>
  <si>
    <t xml:space="preserve">Cuadro V.2. Abril - octubre 1931 (7 meses, reservas ajustadas)</t>
  </si>
  <si>
    <t xml:space="preserve">Libro p. 144. La Caja ya emite contra redescuentos (desde abril de 1931).</t>
  </si>
  <si>
    <t xml:space="preserve">Texto p. 143: entre abril y octubre de 1931 el tipo de cambio pasó de 2,88 a 4,11 pesos papel por peso oro y los redescuentos alcanzaron 264,42 mill. de pesos papel; los billetes circulantes aumentaron 12,57 mill.</t>
  </si>
  <si>
    <t xml:space="preserve">Cuadro V.3. Marzo 1932 - octubre 1933 (20 meses, activos internos)</t>
  </si>
  <si>
    <t xml:space="preserve">Libro p. 147. Filas: variación de los activos internos (ΔA), no del oro.</t>
  </si>
  <si>
    <t xml:space="preserve">Variación de activos internos</t>
  </si>
  <si>
    <t xml:space="preserve">ΔA &lt; 0</t>
  </si>
  <si>
    <t xml:space="preserve">ΔA = 0</t>
  </si>
  <si>
    <t xml:space="preserve">ΔA &gt; 0</t>
  </si>
  <si>
    <t xml:space="preserve">Correspondencia perfecta: la base monetaria pasó a seguir a los activos domésticos, no al oro. Desde marzo de 1932 las reservas se estabilizaron en 353,88 mill. de pesos papel con un TC de 3,75.</t>
  </si>
  <si>
    <t xml:space="preserve">Cuadro V.4. Noviembre 1933 - diciembre 1934 (14 meses, activos internos)</t>
  </si>
  <si>
    <t xml:space="preserve">Libro p. 149. Segunda etapa del control de cambios.</t>
  </si>
  <si>
    <t xml:space="preserve">El total de la última fila figura como 0 en el original (errata evidente: debería ser 14). Entre nov. 1933 y marzo 1934 el TC subió 42% (9% promedio mensual), el aumento más pronunciado de 1929-1934; las reservas tocaron su mínimo global (226 mill. de pesos papel) en septiembre de 1934.</t>
  </si>
  <si>
    <t xml:space="preserve">LA CREACIÓN DEL BCRA (1935): PARÁMETROS Y BALANCE DEL SANEAMIENTO</t>
  </si>
  <si>
    <t xml:space="preserve">Cuadro VI.1. Destinatarios de las funciones bancocentralistas, 1914-1934</t>
  </si>
  <si>
    <t xml:space="preserve">Libro p. 172. FC = por medio del Fondo de Conversión; E = por medio de emisión.</t>
  </si>
  <si>
    <t xml:space="preserve">Organismo</t>
  </si>
  <si>
    <t xml:space="preserve">Gran Guerra 1914-1918</t>
  </si>
  <si>
    <t xml:space="preserve">Años veinte 1919-1927</t>
  </si>
  <si>
    <t xml:space="preserve">Gran Depresión 1929-1934</t>
  </si>
  <si>
    <t xml:space="preserve">Caja de Conversión</t>
  </si>
  <si>
    <t xml:space="preserve">Bancos (FC)</t>
  </si>
  <si>
    <t xml:space="preserve">Estado (FC)</t>
  </si>
  <si>
    <t xml:space="preserve">—</t>
  </si>
  <si>
    <t xml:space="preserve">Bancos (E); Estado (FC); Estado (E)</t>
  </si>
  <si>
    <t xml:space="preserve">Banco de la Nación</t>
  </si>
  <si>
    <t xml:space="preserve">Estado</t>
  </si>
  <si>
    <t xml:space="preserve">Estado; Bancos</t>
  </si>
  <si>
    <t xml:space="preserve">Oficina de Cambios</t>
  </si>
  <si>
    <t xml:space="preserve">Tipos de cambio</t>
  </si>
  <si>
    <t xml:space="preserve">Cuadro VI.4. Compra de activos inmovilizados por el Instituto Movilizador de Inversiones Bancarias — millones de m$n</t>
  </si>
  <si>
    <t xml:space="preserve">Libro p. 186. Fuente: Della Paolera y Taylor (2003: 287).</t>
  </si>
  <si>
    <t xml:space="preserve">Procedencia</t>
  </si>
  <si>
    <t xml:space="preserve">Efectivo</t>
  </si>
  <si>
    <t xml:space="preserve">Pagaré</t>
  </si>
  <si>
    <t xml:space="preserve">Banco de la Nación (originados por redescuentos)</t>
  </si>
  <si>
    <t xml:space="preserve">Cuatro grandes bancos privados</t>
  </si>
  <si>
    <t xml:space="preserve">Otros bancos privados</t>
  </si>
  <si>
    <t xml:space="preserve">Los cuatro grandes bancos privados son el Banco Español y Río de la Plata, Banco Tornquist Co., El Hogar Argentino y Banco Argentino-Uruguayo. El Instituto les compró 385 mill. m$n en activos, pero transfirió 193 mill. al Banco Español Ltdo. recién creado. Totales publicados: 340 / 214 / 554. Sobre un total de préstamos del sistema a fines de 1934 de 3.424,5 mill. m$n, el rescate equivalió al 16% del total.</t>
  </si>
  <si>
    <t xml:space="preserve">Parámetros institucionales del régimen (comparación con el proyecto Niemeyer)</t>
  </si>
  <si>
    <t xml:space="preserve">Libro pp. 174-186. Fuente: Leyes 12.155, 12.156 y 12.157 (Anales, 1953) y HCDN (1935).</t>
  </si>
  <si>
    <t xml:space="preserve">Parámetro</t>
  </si>
  <si>
    <t xml:space="preserve">Ley 12.155 (1935)</t>
  </si>
  <si>
    <t xml:space="preserve">Proyecto Niemeyer</t>
  </si>
  <si>
    <t xml:space="preserve">Régimen anterior</t>
  </si>
  <si>
    <t xml:space="preserve">Composición del capital</t>
  </si>
  <si>
    <t xml:space="preserve">Bancos miembros 50% / Gobierno 50%</t>
  </si>
  <si>
    <t xml:space="preserve">Caja de Conversión: organismo estatal</t>
  </si>
  <si>
    <t xml:space="preserve">Composición del Directorio</t>
  </si>
  <si>
    <t xml:space="preserve">Bancos 50%, productores y comerciantes 29%, gobierno 21%</t>
  </si>
  <si>
    <t xml:space="preserve">Bancos 78%, agricultores y ganaderos 22%</t>
  </si>
  <si>
    <t xml:space="preserve">Reserva mínima</t>
  </si>
  <si>
    <t xml:space="preserve">25% de billetes en circulación y obligaciones a la vista</t>
  </si>
  <si>
    <t xml:space="preserve">Medida correctiva si la reserva bajaba del 33%</t>
  </si>
  <si>
    <t xml:space="preserve">100% marginal (Ley 3871 de 1899); 40% mínimo para redescontar (Ley 9479 de 1914)</t>
  </si>
  <si>
    <t xml:space="preserve">Tope de divisas dentro de la reserva</t>
  </si>
  <si>
    <t xml:space="preserve">Máx. 20% de las reservas; computables hasta 10%</t>
  </si>
  <si>
    <t xml:space="preserve">Redescuentos: documentos comerciales</t>
  </si>
  <si>
    <t xml:space="preserve">1 firma solvente + la del banco, o 2 firmas con tipo menor; vencimiento máx. 90 días</t>
  </si>
  <si>
    <t xml:space="preserve">Más garantías y tasas mayores; no admitía documentos industriales</t>
  </si>
  <si>
    <t xml:space="preserve">Leyes 9479 y 9577 de 1914</t>
  </si>
  <si>
    <t xml:space="preserve">Redescuentos: bienes agropecuarios e industriales</t>
  </si>
  <si>
    <t xml:space="preserve">Igual requisito de firmas; vencimiento máx. 180 días</t>
  </si>
  <si>
    <t xml:space="preserve">No contemplado</t>
  </si>
  <si>
    <t xml:space="preserve">Adelantos al gobierno</t>
  </si>
  <si>
    <t xml:space="preserve">Sólo por deficiencias estacionales; máx. 10% del promedio de recursos en efectivo de los últimos 3 años; reembolso máx. 12 meses</t>
  </si>
  <si>
    <t xml:space="preserve">Cuenta Tesorería con límite legal del 20% del capital del BNA, sistemáticamente excedido</t>
  </si>
  <si>
    <t xml:space="preserve">Efectivos mínimos bancarios (Ley 12.156)</t>
  </si>
  <si>
    <t xml:space="preserve">16% de los depósitos a la vista y 8% de los depósitos a plazo</t>
  </si>
  <si>
    <t xml:space="preserve">25% del total de depósitos para el BNA (Ley 2841 de 1891)</t>
  </si>
  <si>
    <t xml:space="preserve">Capital del Instituto Movilizador (Ley 12.157)</t>
  </si>
  <si>
    <t xml:space="preserve">Recibió 390 mill. m$n del gobierno: 10 de capital y 380 de fondo de reserva</t>
  </si>
  <si>
    <t xml:space="preserve">La revaluación del oro dejó al gobierno 663,4 mill. m$n, de los cuales casi el 60% se destinó al Instituto Movilizador (libro p. 185).</t>
  </si>
  <si>
    <t xml:space="preserve">DATOS QUE EL LIBRO DA SÓLO EN EL TEXTO CORRIDO</t>
  </si>
  <si>
    <t xml:space="preserve">Selección de los datos cuantitativos que no aparecen en ningún cuadro. Página = numeración impresa del libro.</t>
  </si>
  <si>
    <t xml:space="preserve">Bloque temático</t>
  </si>
  <si>
    <t xml:space="preserve">Variable / hecho</t>
  </si>
  <si>
    <t xml:space="preserve">Fuente citada por el libro</t>
  </si>
  <si>
    <t xml:space="preserve">Crisis de 1890</t>
  </si>
  <si>
    <t xml:space="preserve">Reservas del Banco Nacional, diciembre de 1889</t>
  </si>
  <si>
    <t xml:space="preserve">6,0</t>
  </si>
  <si>
    <t xml:space="preserve">Millones de $ oro</t>
  </si>
  <si>
    <t xml:space="preserve">Della Paolera y Taylor (2003: 72)</t>
  </si>
  <si>
    <t xml:space="preserve">Reservas de dic.1889 como % del stock de marzo de 1889</t>
  </si>
  <si>
    <t xml:space="preserve">10,41%</t>
  </si>
  <si>
    <t xml:space="preserve">Tipo de cambio 1888 → 1889 (+22%)</t>
  </si>
  <si>
    <t xml:space="preserve">1,48 → 1,80</t>
  </si>
  <si>
    <t xml:space="preserve">m$n por $ oro</t>
  </si>
  <si>
    <t xml:space="preserve">Della Paolera y Taylor (2003: 104)</t>
  </si>
  <si>
    <t xml:space="preserve">Tasa de inflación 1888 → 1889</t>
  </si>
  <si>
    <t xml:space="preserve">0% → 19,8%</t>
  </si>
  <si>
    <t xml:space="preserve">Déficit fiscal 1888 → 1889</t>
  </si>
  <si>
    <t xml:space="preserve">34,2 → 48,1</t>
  </si>
  <si>
    <t xml:space="preserve">Indicador de riesgo país 1888 → 1889</t>
  </si>
  <si>
    <t xml:space="preserve">2,18% → 2,37%</t>
  </si>
  <si>
    <t xml:space="preserve">Déficit fiscal de 1890</t>
  </si>
  <si>
    <t xml:space="preserve">42,2</t>
  </si>
  <si>
    <t xml:space="preserve">Millones de pesos</t>
  </si>
  <si>
    <t xml:space="preserve">Della Paolera y Taylor (2003: 85)</t>
  </si>
  <si>
    <t xml:space="preserve">Carga de la deuda externa pública sobre ingresos fiscales, 1890</t>
  </si>
  <si>
    <t xml:space="preserve">40%</t>
  </si>
  <si>
    <t xml:space="preserve">Empréstito de Consolidación del 24/1/1891</t>
  </si>
  <si>
    <t xml:space="preserve">14,8 (= 75 mill. $ oro)</t>
  </si>
  <si>
    <t xml:space="preserve">Millones de libras</t>
  </si>
  <si>
    <t xml:space="preserve">Arcondo y Arnaudo (1989: 11)</t>
  </si>
  <si>
    <t xml:space="preserve">Empréstito interno intentado; sólo se cobraron 28,5 mill.</t>
  </si>
  <si>
    <t xml:space="preserve">100</t>
  </si>
  <si>
    <t xml:space="preserve">Terry (1893: 192-193)</t>
  </si>
  <si>
    <t xml:space="preserve">Deflación 1891-99</t>
  </si>
  <si>
    <t xml:space="preserve">Caída promedio anual de precios</t>
  </si>
  <si>
    <t xml:space="preserve">-6,1%</t>
  </si>
  <si>
    <t xml:space="preserve">Porcentaje anual</t>
  </si>
  <si>
    <t xml:space="preserve">Régimen monetario</t>
  </si>
  <si>
    <t xml:space="preserve">Billetes en circulación a respaldar por el Fondo de Conversión (Ley 3871)</t>
  </si>
  <si>
    <t xml:space="preserve">293</t>
  </si>
  <si>
    <t xml:space="preserve">Ley 3871/1899, art. 1</t>
  </si>
  <si>
    <t xml:space="preserve">Paridad legal fijada en 1899</t>
  </si>
  <si>
    <t xml:space="preserve">2,27</t>
  </si>
  <si>
    <t xml:space="preserve">Ley 3871/1899</t>
  </si>
  <si>
    <t xml:space="preserve">Capital autorizado del BNA emitido por la Caja (Ley 2841)</t>
  </si>
  <si>
    <t xml:space="preserve">50</t>
  </si>
  <si>
    <t xml:space="preserve">Ley 2841/1891</t>
  </si>
  <si>
    <t xml:space="preserve">Encaje obligatorio del BNA sobre depósitos (Ley 2841)</t>
  </si>
  <si>
    <t xml:space="preserve">25%</t>
  </si>
  <si>
    <t xml:space="preserve">Ley 2841/1891, ratificado en 1904</t>
  </si>
  <si>
    <t xml:space="preserve">Encaje transitorio por decreto del 30/6/1892 (derogado en 1895)</t>
  </si>
  <si>
    <t xml:space="preserve">75%</t>
  </si>
  <si>
    <t xml:space="preserve">Decretos de 1892 y 1895</t>
  </si>
  <si>
    <t xml:space="preserve">Respaldo metálico mínimo para que la Caja redescontara (Ley 9479)</t>
  </si>
  <si>
    <t xml:space="preserve">% de la base monetaria</t>
  </si>
  <si>
    <t xml:space="preserve">Estructura bancaria</t>
  </si>
  <si>
    <t xml:space="preserve">Participación de los bancos nacionales (excl. BNA) en depósitos, dic.1914</t>
  </si>
  <si>
    <t xml:space="preserve">29%</t>
  </si>
  <si>
    <t xml:space="preserve">Base de datos del Apéndice</t>
  </si>
  <si>
    <t xml:space="preserve">Participación de los bancos nacionales (excl. BNA) en préstamos, dic.1914</t>
  </si>
  <si>
    <t xml:space="preserve">39%</t>
  </si>
  <si>
    <t xml:space="preserve">Factores de producción</t>
  </si>
  <si>
    <t xml:space="preserve">Superficie cultivada 1880 → 1912</t>
  </si>
  <si>
    <t xml:space="preserve">0,8 → 21</t>
  </si>
  <si>
    <t xml:space="preserve">Tierras anexadas por la Campaña del Desierto (1880)</t>
  </si>
  <si>
    <t xml:space="preserve">30</t>
  </si>
  <si>
    <t xml:space="preserve">Cortés Conde (1979: 53)</t>
  </si>
  <si>
    <t xml:space="preserve">Red ferroviaria 1880 → 1914</t>
  </si>
  <si>
    <t xml:space="preserve">2.300 → 34.500</t>
  </si>
  <si>
    <t xml:space="preserve">Kilómetros</t>
  </si>
  <si>
    <t xml:space="preserve">Población total 1869 / 1895 / 1914</t>
  </si>
  <si>
    <t xml:space="preserve">1,8 / 4,0 / 7,9</t>
  </si>
  <si>
    <t xml:space="preserve">Vázquez Presedo (1971: 15-16)</t>
  </si>
  <si>
    <t xml:space="preserve">Crecimiento poblacional promedio anual 1869-1895 y 1895-1914</t>
  </si>
  <si>
    <t xml:space="preserve">3,1% y 3,6%</t>
  </si>
  <si>
    <t xml:space="preserve">Población rural 1880 → 1914</t>
  </si>
  <si>
    <t xml:space="preserve">1,7 → 3,7</t>
  </si>
  <si>
    <t xml:space="preserve">Concentración: 7% de las explotaciones (1000-5000 ha) sobre el total de tierra</t>
  </si>
  <si>
    <t xml:space="preserve">30%</t>
  </si>
  <si>
    <t xml:space="preserve">Cortés Conde (1979)</t>
  </si>
  <si>
    <t xml:space="preserve">Comercio exterior</t>
  </si>
  <si>
    <t xml:space="preserve">Exportaciones a precios constantes 1913 respecto de 1880</t>
  </si>
  <si>
    <t xml:space="preserve">2,2 veces</t>
  </si>
  <si>
    <t xml:space="preserve">Múltiplo</t>
  </si>
  <si>
    <t xml:space="preserve">Deuda externa</t>
  </si>
  <si>
    <t xml:space="preserve">Total de los 14 empréstitos del Arreglo Romero</t>
  </si>
  <si>
    <t xml:space="preserve">222,5 (= 44 mill. de libras)</t>
  </si>
  <si>
    <t xml:space="preserve">Quita de intereses del Arreglo Romero (11 de 14 empréstitos, 1893-1898)</t>
  </si>
  <si>
    <t xml:space="preserve">60% de lo pactado</t>
  </si>
  <si>
    <t xml:space="preserve">Arcondo y Arnaudo (1989: 12)</t>
  </si>
  <si>
    <t xml:space="preserve">Respaldo del Fondo de Conversión sobre la base monetaria total, 1913</t>
  </si>
  <si>
    <t xml:space="preserve">73%</t>
  </si>
  <si>
    <t xml:space="preserve">Respaldo tras movilizar el Fondo en 1914</t>
  </si>
  <si>
    <t xml:space="preserve">66%</t>
  </si>
  <si>
    <t xml:space="preserve">Respaldo de los billetes en circulación, noviembre de 1929</t>
  </si>
  <si>
    <t xml:space="preserve">84%</t>
  </si>
  <si>
    <t xml:space="preserve">Movilización del Fondo, 1/9/1914</t>
  </si>
  <si>
    <t xml:space="preserve">20 mill. $ oro = 45,45 mill. m$n</t>
  </si>
  <si>
    <t xml:space="preserve">Millones</t>
  </si>
  <si>
    <t xml:space="preserve">Ley 9479</t>
  </si>
  <si>
    <t xml:space="preserve">Suba del tipo de cambio entre dic.1929 y oct.1931</t>
  </si>
  <si>
    <t xml:space="preserve">74%</t>
  </si>
  <si>
    <t xml:space="preserve">Tipo de cambio abril → octubre de 1931</t>
  </si>
  <si>
    <t xml:space="preserve">2,88 → 4,11</t>
  </si>
  <si>
    <t xml:space="preserve">Pesos papel por $ oro</t>
  </si>
  <si>
    <t xml:space="preserve">Redescuentos acumulados a octubre de 1931</t>
  </si>
  <si>
    <t xml:space="preserve">264,42</t>
  </si>
  <si>
    <t xml:space="preserve">Reservas estabilizadas desde marzo de 1932 (con TC de 3,75)</t>
  </si>
  <si>
    <t xml:space="preserve">353,88</t>
  </si>
  <si>
    <t xml:space="preserve">Mínimo global de reservas, septiembre de 1934</t>
  </si>
  <si>
    <t xml:space="preserve">226</t>
  </si>
  <si>
    <t xml:space="preserve">Suba del TC entre nov.1933 y marzo 1934 (máxima del período)</t>
  </si>
  <si>
    <t xml:space="preserve">42% (9% mensual)</t>
  </si>
  <si>
    <t xml:space="preserve">Tope de redescuentos del BNA en la Caja, decreto de 1931 y sucesivas ampliaciones</t>
  </si>
  <si>
    <t xml:space="preserve">200 → 270 → 320 → 360</t>
  </si>
  <si>
    <t xml:space="preserve">Quintero Ramos (1970: 274-276)</t>
  </si>
  <si>
    <t xml:space="preserve">Aforo de los títulos del Empréstito Patriótico monetizados</t>
  </si>
  <si>
    <t xml:space="preserve">85% del valor nominal</t>
  </si>
  <si>
    <t xml:space="preserve">Boletín Oficial, 22/1/1932</t>
  </si>
  <si>
    <t xml:space="preserve">Sistema bancario</t>
  </si>
  <si>
    <t xml:space="preserve">Nivel de liquidez del sistema tras la crisis de 1914 (caída del 20%)</t>
  </si>
  <si>
    <t xml:space="preserve">428,6</t>
  </si>
  <si>
    <t xml:space="preserve">Nivel de liquidez del BNA en 1914 (+5,06%)</t>
  </si>
  <si>
    <t xml:space="preserve">273,75</t>
  </si>
  <si>
    <t xml:space="preserve">Nivel de liquidez de los bancos nacionales en 1914 (-68,90%)</t>
  </si>
  <si>
    <t xml:space="preserve">46,55</t>
  </si>
  <si>
    <t xml:space="preserve">Nivel de liquidez de los bancos extranjeros en 1914 (-13,15%)</t>
  </si>
  <si>
    <t xml:space="preserve">108,26</t>
  </si>
  <si>
    <t xml:space="preserve">Máximo del ratio reservas/depósitos del resto de los bancos, 1923</t>
  </si>
  <si>
    <t xml:space="preserve">36%</t>
  </si>
  <si>
    <t xml:space="preserve">Contrafactual sin redescuentos, resto de bancos: 1929 / 1932 / 1934</t>
  </si>
  <si>
    <t xml:space="preserve">10% / 13% / 6%</t>
  </si>
  <si>
    <t xml:space="preserve">Total de préstamos del sistema a fines de 1934</t>
  </si>
  <si>
    <t xml:space="preserve">3.424,5</t>
  </si>
  <si>
    <t xml:space="preserve">Finanzas públicas</t>
  </si>
  <si>
    <t xml:space="preserve">Resultado primario y financiero, 1900</t>
  </si>
  <si>
    <t xml:space="preserve">+2,8% y -0,45%</t>
  </si>
  <si>
    <t xml:space="preserve">Resultado primario, 1913</t>
  </si>
  <si>
    <t xml:space="preserve">+0,9%</t>
  </si>
  <si>
    <t xml:space="preserve">Resultado financiero, 1913</t>
  </si>
  <si>
    <t xml:space="preserve">-0,6%</t>
  </si>
  <si>
    <t xml:space="preserve">Resultado primario y financiero, 1920</t>
  </si>
  <si>
    <t xml:space="preserve">+1,27% y +0,20%</t>
  </si>
  <si>
    <t xml:space="preserve">Gasto público de 1928 respecto de 1920</t>
  </si>
  <si>
    <t xml:space="preserve">1,7 veces</t>
  </si>
  <si>
    <t xml:space="preserve">Resultado primario 1929 → 1930</t>
  </si>
  <si>
    <t xml:space="preserve">-0,19% → -1,69%</t>
  </si>
  <si>
    <t xml:space="preserve">Resultado financiero 1929 → 1930</t>
  </si>
  <si>
    <t xml:space="preserve">-2% → -4%</t>
  </si>
  <si>
    <t xml:space="preserve">Resultado financiero, 1934 (con equilibrio primario)</t>
  </si>
  <si>
    <t xml:space="preserve">-1,6%</t>
  </si>
  <si>
    <t xml:space="preserve">Deuda flotante, 1931</t>
  </si>
  <si>
    <t xml:space="preserve">14% del PIB (interna 13%, externa 10%)</t>
  </si>
  <si>
    <t xml:space="preserve">Deuda flotante sobre deuda total, 1931 y 1932 (máximo)</t>
  </si>
  <si>
    <t xml:space="preserve">36% y 39%</t>
  </si>
  <si>
    <t xml:space="preserve">Proporción de la deuda flotante financiada por el BNA (promedio)</t>
  </si>
  <si>
    <t xml:space="preserve">35%</t>
  </si>
  <si>
    <t xml:space="preserve">Contrafactuales fiscales</t>
  </si>
  <si>
    <t xml:space="preserve">Déficit financiero 1918: observado vs. sin financiamiento del BNA</t>
  </si>
  <si>
    <t xml:space="preserve">99 vs. 689 (7 veces)</t>
  </si>
  <si>
    <t xml:space="preserve">Resultado 1920: observado vs. contrafactual</t>
  </si>
  <si>
    <t xml:space="preserve">+21 vs. -485 (23 veces)</t>
  </si>
  <si>
    <t xml:space="preserve">Déficit 1928: observado vs. contrafactual</t>
  </si>
  <si>
    <t xml:space="preserve">180 vs. 590 (3,3 veces)</t>
  </si>
  <si>
    <t xml:space="preserve">Déficit 1930: observado vs. contrafactual</t>
  </si>
  <si>
    <t xml:space="preserve">428 vs. 975 (2,3 veces)</t>
  </si>
  <si>
    <t xml:space="preserve">Déficit 1934: observado vs. contrafactual</t>
  </si>
  <si>
    <t xml:space="preserve">170 vs. 1.016 (6 veces)</t>
  </si>
  <si>
    <t xml:space="preserve">Cosechas</t>
  </si>
  <si>
    <t xml:space="preserve">Trigo 1913/14: superficie, rendimiento y producción</t>
  </si>
  <si>
    <t xml:space="preserve">-13%, -36%, -44%</t>
  </si>
  <si>
    <t xml:space="preserve">No declarada</t>
  </si>
  <si>
    <t xml:space="preserve">Maíz 1913/14: rendimiento y producción</t>
  </si>
  <si>
    <t xml:space="preserve">-41%, -34%</t>
  </si>
  <si>
    <t xml:space="preserve">Trigo 1917: producción, superficie y rendimiento</t>
  </si>
  <si>
    <t xml:space="preserve">-50%, -23%, -35%</t>
  </si>
  <si>
    <t xml:space="preserve">Maíz 1917: producción, superficie y rendimiento</t>
  </si>
  <si>
    <t xml:space="preserve">-63%, -52%, -23%</t>
  </si>
  <si>
    <t xml:space="preserve">Trigo 1930: superficie y rendimiento</t>
  </si>
  <si>
    <t xml:space="preserve">-29%, -34%</t>
  </si>
  <si>
    <t xml:space="preserve">Trigo y maíz 1931: superficie y rendimiento</t>
  </si>
  <si>
    <t xml:space="preserve">Trigo +23% y +43%; maíz +11% y +50%</t>
  </si>
  <si>
    <t xml:space="preserve">Control de cambios</t>
  </si>
  <si>
    <t xml:space="preserve">Pesos bloqueados, 1933</t>
  </si>
  <si>
    <t xml:space="preserve">13 mill. de libras (≈250 mill. de pesos)</t>
  </si>
  <si>
    <t xml:space="preserve">Cortés Conde (2005: 95)</t>
  </si>
  <si>
    <t xml:space="preserve">Contexto internacional</t>
  </si>
  <si>
    <t xml:space="preserve">Crecimiento del producto per cápita 1900-1913: centro vs. periferia</t>
  </si>
  <si>
    <t xml:space="preserve">1,6% vs. 1,0%</t>
  </si>
  <si>
    <t xml:space="preserve">Bairoch, citado por la autora</t>
  </si>
</sst>
</file>

<file path=xl/styles.xml><?xml version="1.0" encoding="utf-8"?>
<styleSheet xmlns="http://schemas.openxmlformats.org/spreadsheetml/2006/main">
  <numFmts count="9">
    <numFmt numFmtId="164" formatCode="General"/>
    <numFmt numFmtId="165" formatCode="0.00"/>
    <numFmt numFmtId="166" formatCode="#,##0"/>
    <numFmt numFmtId="167" formatCode="0.0"/>
    <numFmt numFmtId="168" formatCode="#,##0.0"/>
    <numFmt numFmtId="169" formatCode="0.0%"/>
    <numFmt numFmtId="170" formatCode="0"/>
    <numFmt numFmtId="171" formatCode="0%"/>
    <numFmt numFmtId="172" formatCode="#,##0.00"/>
  </numFmts>
  <fonts count="16">
    <font>
      <sz val="11"/>
      <color theme="1"/>
      <name val="Calibri"/>
      <family val="2"/>
      <charset val="1"/>
    </font>
    <font>
      <sz val="10"/>
      <name val="Arial"/>
      <family val="0"/>
    </font>
    <font>
      <sz val="10"/>
      <name val="Arial"/>
      <family val="0"/>
    </font>
    <font>
      <sz val="10"/>
      <name val="Arial"/>
      <family val="0"/>
    </font>
    <font>
      <b val="true"/>
      <sz val="15"/>
      <color rgb="FF1F3864"/>
      <name val="Arial"/>
      <family val="0"/>
      <charset val="1"/>
    </font>
    <font>
      <b val="true"/>
      <sz val="10"/>
      <name val="Arial"/>
      <family val="0"/>
      <charset val="1"/>
    </font>
    <font>
      <sz val="10"/>
      <name val="Arial"/>
      <family val="0"/>
      <charset val="1"/>
    </font>
    <font>
      <b val="true"/>
      <sz val="13"/>
      <name val="Arial"/>
      <family val="0"/>
      <charset val="1"/>
    </font>
    <font>
      <b val="true"/>
      <sz val="10"/>
      <color rgb="FF1F3864"/>
      <name val="Arial"/>
      <family val="0"/>
      <charset val="1"/>
    </font>
    <font>
      <i val="true"/>
      <sz val="8"/>
      <color rgb="FF555555"/>
      <name val="Arial"/>
      <family val="0"/>
      <charset val="1"/>
    </font>
    <font>
      <b val="true"/>
      <sz val="11"/>
      <color rgb="FFFFFFFF"/>
      <name val="Arial"/>
      <family val="0"/>
      <charset val="1"/>
    </font>
    <font>
      <b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name val="Arial"/>
      <family val="0"/>
      <charset val="1"/>
    </font>
  </fonts>
  <fills count="6">
    <fill>
      <patternFill patternType="none"/>
    </fill>
    <fill>
      <patternFill patternType="gray125"/>
    </fill>
    <fill>
      <patternFill patternType="solid">
        <fgColor rgb="FF1F3864"/>
        <bgColor rgb="FF333399"/>
      </patternFill>
    </fill>
    <fill>
      <patternFill patternType="solid">
        <fgColor rgb="FFE2EFDA"/>
        <bgColor rgb="FFD9E2F3"/>
      </patternFill>
    </fill>
    <fill>
      <patternFill patternType="solid">
        <fgColor rgb="FFFCE4D6"/>
        <bgColor rgb="FFE2EFDA"/>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9" fontId="6" fillId="5"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8064A2"/>
      <rgbColor rgb="FFBE4B48"/>
      <rgbColor rgb="FFFCE4D6"/>
      <rgbColor rgb="FFD9E2F3"/>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4A7EBB"/>
      <rgbColor rgb="FF4BACC6"/>
      <rgbColor rgb="FF98B855"/>
      <rgbColor rgb="FFFFCC00"/>
      <rgbColor rgb="FFFF9900"/>
      <rgbColor rgb="FFFF6600"/>
      <rgbColor rgb="FF7D5FA0"/>
      <rgbColor rgb="FF9BBB59"/>
      <rgbColor rgb="FF1F3864"/>
      <rgbColor rgb="FF4F81BD"/>
      <rgbColor rgb="FF003300"/>
      <rgbColor rgb="FF333300"/>
      <rgbColor rgb="FF993300"/>
      <rgbColor rgb="FFC0504D"/>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Tipo de cambio y nivel de precios, 1891-1899</a:t>
            </a:r>
          </a:p>
        </c:rich>
      </c:tx>
      <c:overlay val="0"/>
      <c:spPr>
        <a:noFill/>
        <a:ln w="0">
          <a:noFill/>
        </a:ln>
      </c:spPr>
    </c:title>
    <c:autoTitleDeleted val="0"/>
    <c:plotArea>
      <c:lineChart>
        <c:grouping val="standard"/>
        <c:varyColors val="0"/>
        <c:ser>
          <c:idx val="0"/>
          <c:order val="0"/>
          <c:tx>
            <c:strRef>
              <c:f>10_TC_Precios_1891_1899!B4</c:f>
              <c:strCache>
                <c:ptCount val="1"/>
                <c:pt idx="0">
                  <c:v>Tipo de cambio
(m$n por $ oro, prom. anual)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10_TC_Precios_1891_1899!$A$5:$A$13</c:f>
              <c:strCache>
                <c:ptCount val="9"/>
                <c:pt idx="0">
                  <c:v>1891.00</c:v>
                </c:pt>
                <c:pt idx="1">
                  <c:v>1892.00</c:v>
                </c:pt>
                <c:pt idx="2">
                  <c:v>1893.00</c:v>
                </c:pt>
                <c:pt idx="3">
                  <c:v>1894.00</c:v>
                </c:pt>
                <c:pt idx="4">
                  <c:v>1895.00</c:v>
                </c:pt>
                <c:pt idx="5">
                  <c:v>1896.00</c:v>
                </c:pt>
                <c:pt idx="6">
                  <c:v>1897.00</c:v>
                </c:pt>
                <c:pt idx="7">
                  <c:v>1898.00</c:v>
                </c:pt>
                <c:pt idx="8">
                  <c:v>1899.00</c:v>
                </c:pt>
              </c:strCache>
            </c:strRef>
          </c:cat>
          <c:val>
            <c:numRef>
              <c:f>10_TC_Precios_1891_1899!$B$5:$B$13</c:f>
              <c:numCache>
                <c:formatCode>0.00</c:formatCode>
                <c:ptCount val="9"/>
                <c:pt idx="0">
                  <c:v>3.87</c:v>
                </c:pt>
                <c:pt idx="1">
                  <c:v>3.32</c:v>
                </c:pt>
                <c:pt idx="2">
                  <c:v>3.24</c:v>
                </c:pt>
                <c:pt idx="3">
                  <c:v>3.57</c:v>
                </c:pt>
                <c:pt idx="4">
                  <c:v>3.44</c:v>
                </c:pt>
                <c:pt idx="5">
                  <c:v>2.96</c:v>
                </c:pt>
                <c:pt idx="6">
                  <c:v>2.91</c:v>
                </c:pt>
                <c:pt idx="7">
                  <c:v>2.58</c:v>
                </c:pt>
                <c:pt idx="8">
                  <c:v>2.25</c:v>
                </c:pt>
              </c:numCache>
            </c:numRef>
          </c:val>
          <c:smooth val="1"/>
        </c:ser>
        <c:hiLowLines>
          <c:spPr>
            <a:ln w="0">
              <a:noFill/>
            </a:ln>
          </c:spPr>
        </c:hiLowLines>
        <c:marker val="0"/>
        <c:axId val="87101829"/>
        <c:axId val="44922191"/>
      </c:lineChart>
      <c:lineChart>
        <c:grouping val="standard"/>
        <c:varyColors val="0"/>
        <c:ser>
          <c:idx val="1"/>
          <c:order val="1"/>
          <c:tx>
            <c:strRef>
              <c:f>10_TC_Precios_1891_1899!C4</c:f>
              <c:strCache>
                <c:ptCount val="1"/>
                <c:pt idx="0">
                  <c:v>Nivel de precios
(IPC, 1886=100)</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10_TC_Precios_1891_1899!$A$5:$A$13</c:f>
              <c:strCache>
                <c:ptCount val="9"/>
                <c:pt idx="0">
                  <c:v>1891.00</c:v>
                </c:pt>
                <c:pt idx="1">
                  <c:v>1892.00</c:v>
                </c:pt>
                <c:pt idx="2">
                  <c:v>1893.00</c:v>
                </c:pt>
                <c:pt idx="3">
                  <c:v>1894.00</c:v>
                </c:pt>
                <c:pt idx="4">
                  <c:v>1895.00</c:v>
                </c:pt>
                <c:pt idx="5">
                  <c:v>1896.00</c:v>
                </c:pt>
                <c:pt idx="6">
                  <c:v>1897.00</c:v>
                </c:pt>
                <c:pt idx="7">
                  <c:v>1898.00</c:v>
                </c:pt>
                <c:pt idx="8">
                  <c:v>1899.00</c:v>
                </c:pt>
              </c:strCache>
            </c:strRef>
          </c:cat>
          <c:val>
            <c:numRef>
              <c:f>10_TC_Precios_1891_1899!$C$5:$C$13</c:f>
              <c:numCache>
                <c:formatCode>0.00</c:formatCode>
                <c:ptCount val="9"/>
                <c:pt idx="0">
                  <c:v>151.8</c:v>
                </c:pt>
                <c:pt idx="1">
                  <c:v>157.4</c:v>
                </c:pt>
                <c:pt idx="2">
                  <c:v>163.1</c:v>
                </c:pt>
                <c:pt idx="3">
                  <c:v>168.7</c:v>
                </c:pt>
                <c:pt idx="4">
                  <c:v>174.4</c:v>
                </c:pt>
                <c:pt idx="5">
                  <c:v>180</c:v>
                </c:pt>
                <c:pt idx="6">
                  <c:v>165.1</c:v>
                </c:pt>
                <c:pt idx="7">
                  <c:v>150.3</c:v>
                </c:pt>
                <c:pt idx="8">
                  <c:v>135.4</c:v>
                </c:pt>
              </c:numCache>
            </c:numRef>
          </c:val>
          <c:smooth val="1"/>
        </c:ser>
        <c:hiLowLines>
          <c:spPr>
            <a:ln w="0">
              <a:noFill/>
            </a:ln>
          </c:spPr>
        </c:hiLowLines>
        <c:marker val="0"/>
        <c:axId val="83434304"/>
        <c:axId val="28187371"/>
      </c:lineChart>
      <c:catAx>
        <c:axId val="8710182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Año</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4922191"/>
        <c:crosses val="autoZero"/>
        <c:auto val="1"/>
        <c:lblAlgn val="ctr"/>
        <c:lblOffset val="100"/>
        <c:noMultiLvlLbl val="0"/>
      </c:catAx>
      <c:valAx>
        <c:axId val="449221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m$n por $ oro</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101829"/>
        <c:crosses val="autoZero"/>
        <c:crossBetween val="between"/>
      </c:valAx>
      <c:catAx>
        <c:axId val="83434304"/>
        <c:scaling>
          <c:orientation val="minMax"/>
        </c:scaling>
        <c:delete val="0"/>
        <c:axPos val="t"/>
        <c:title>
          <c:tx>
            <c:rich>
              <a:bodyPr rot="0"/>
              <a:lstStyle/>
              <a:p>
                <a:pPr>
                  <a:defRPr b="1" sz="1000" spc="-1" strike="noStrike">
                    <a:solidFill>
                      <a:srgbClr val="000000"/>
                    </a:solidFill>
                    <a:latin typeface="Calibri"/>
                  </a:defRPr>
                </a:pPr>
                <a:r>
                  <a:rPr b="1" sz="1000" spc="-1" strike="noStrike">
                    <a:solidFill>
                      <a:srgbClr val="000000"/>
                    </a:solidFill>
                    <a:latin typeface="Calibri"/>
                  </a:rPr>
                  <a:t>Año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187371"/>
        <c:crosses val="autoZero"/>
        <c:auto val="1"/>
        <c:lblAlgn val="ctr"/>
        <c:lblOffset val="100"/>
        <c:noMultiLvlLbl val="0"/>
      </c:catAx>
      <c:valAx>
        <c:axId val="28187371"/>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IPC 1886=100</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434304"/>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Fondo de Conversión, 1900-1928 (mill. $ oro)</a:t>
            </a:r>
          </a:p>
        </c:rich>
      </c:tx>
      <c:overlay val="0"/>
      <c:spPr>
        <a:noFill/>
        <a:ln w="0">
          <a:noFill/>
        </a:ln>
      </c:spPr>
    </c:title>
    <c:autoTitleDeleted val="0"/>
    <c:plotArea>
      <c:lineChart>
        <c:grouping val="standard"/>
        <c:varyColors val="0"/>
        <c:ser>
          <c:idx val="0"/>
          <c:order val="0"/>
          <c:tx>
            <c:strRef>
              <c:f>12_Fondo_Conversion!B4</c:f>
              <c:strCache>
                <c:ptCount val="1"/>
                <c:pt idx="0">
                  <c:v>Fondo de Conversión
(mill. $ oro)</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12_Fondo_Conversion!$A$5:$A$33</c:f>
              <c:strCache>
                <c:ptCount val="29"/>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strCache>
            </c:strRef>
          </c:cat>
          <c:val>
            <c:numRef>
              <c:f>12_Fondo_Conversion!$B$5:$B$33</c:f>
              <c:numCache>
                <c:formatCode>0.00</c:formatCode>
                <c:ptCount val="29"/>
                <c:pt idx="0">
                  <c:v>0</c:v>
                </c:pt>
                <c:pt idx="1">
                  <c:v>0</c:v>
                </c:pt>
                <c:pt idx="2">
                  <c:v>0.14</c:v>
                </c:pt>
                <c:pt idx="3">
                  <c:v>0.49</c:v>
                </c:pt>
                <c:pt idx="4">
                  <c:v>5.21</c:v>
                </c:pt>
                <c:pt idx="5">
                  <c:v>11.71</c:v>
                </c:pt>
                <c:pt idx="6">
                  <c:v>16.81</c:v>
                </c:pt>
                <c:pt idx="7">
                  <c:v>19.76</c:v>
                </c:pt>
                <c:pt idx="8">
                  <c:v>25</c:v>
                </c:pt>
                <c:pt idx="9">
                  <c:v>28.5</c:v>
                </c:pt>
                <c:pt idx="10">
                  <c:v>30</c:v>
                </c:pt>
                <c:pt idx="11">
                  <c:v>30</c:v>
                </c:pt>
                <c:pt idx="12">
                  <c:v>30</c:v>
                </c:pt>
                <c:pt idx="13">
                  <c:v>30</c:v>
                </c:pt>
                <c:pt idx="14">
                  <c:v>10</c:v>
                </c:pt>
                <c:pt idx="15">
                  <c:v>10</c:v>
                </c:pt>
                <c:pt idx="16">
                  <c:v>10</c:v>
                </c:pt>
                <c:pt idx="17">
                  <c:v>10</c:v>
                </c:pt>
                <c:pt idx="18">
                  <c:v>10</c:v>
                </c:pt>
                <c:pt idx="19">
                  <c:v>10</c:v>
                </c:pt>
                <c:pt idx="20">
                  <c:v>10</c:v>
                </c:pt>
                <c:pt idx="21">
                  <c:v>10</c:v>
                </c:pt>
                <c:pt idx="22">
                  <c:v>10</c:v>
                </c:pt>
                <c:pt idx="23">
                  <c:v>10</c:v>
                </c:pt>
                <c:pt idx="24">
                  <c:v>0</c:v>
                </c:pt>
                <c:pt idx="25">
                  <c:v>7.09</c:v>
                </c:pt>
                <c:pt idx="26">
                  <c:v>7.09</c:v>
                </c:pt>
                <c:pt idx="27">
                  <c:v>30</c:v>
                </c:pt>
                <c:pt idx="28">
                  <c:v>30</c:v>
                </c:pt>
              </c:numCache>
            </c:numRef>
          </c:val>
          <c:smooth val="1"/>
        </c:ser>
        <c:hiLowLines>
          <c:spPr>
            <a:ln w="0">
              <a:noFill/>
            </a:ln>
          </c:spPr>
        </c:hiLowLines>
        <c:marker val="0"/>
        <c:axId val="37501577"/>
        <c:axId val="45986745"/>
      </c:lineChart>
      <c:catAx>
        <c:axId val="3750157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986745"/>
        <c:crosses val="autoZero"/>
        <c:auto val="1"/>
        <c:lblAlgn val="ctr"/>
        <c:lblOffset val="100"/>
        <c:noMultiLvlLbl val="0"/>
      </c:catAx>
      <c:valAx>
        <c:axId val="4598674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Millones de pesos oro</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50157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Redescuentos del BNA a otros bancos y su peso en las reservas, 1908-1934</a:t>
            </a:r>
          </a:p>
        </c:rich>
      </c:tx>
      <c:overlay val="0"/>
      <c:spPr>
        <a:noFill/>
        <a:ln w="0">
          <a:noFill/>
        </a:ln>
      </c:spPr>
    </c:title>
    <c:autoTitleDeleted val="0"/>
    <c:plotArea>
      <c:barChart>
        <c:barDir val="col"/>
        <c:grouping val="clustered"/>
        <c:varyColors val="0"/>
        <c:ser>
          <c:idx val="0"/>
          <c:order val="0"/>
          <c:tx>
            <c:strRef>
              <c:f>13_Redescuentos_bancos!B4</c:f>
              <c:strCache>
                <c:ptCount val="1"/>
                <c:pt idx="0">
                  <c:v>Redescuentos del BNA
(mill. m$n)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13_Redescuentos_bancos!$A$5:$A$31</c:f>
              <c:strCache>
                <c:ptCount val="27"/>
                <c:pt idx="0">
                  <c:v>1908</c:v>
                </c:pt>
                <c:pt idx="1">
                  <c:v>1909</c:v>
                </c:pt>
                <c:pt idx="2">
                  <c:v>1910</c:v>
                </c:pt>
                <c:pt idx="3">
                  <c:v>1911</c:v>
                </c:pt>
                <c:pt idx="4">
                  <c:v>1912</c:v>
                </c:pt>
                <c:pt idx="5">
                  <c:v>1913</c:v>
                </c:pt>
                <c:pt idx="6">
                  <c:v>1914</c:v>
                </c:pt>
                <c:pt idx="7">
                  <c:v>1915</c:v>
                </c:pt>
                <c:pt idx="8">
                  <c:v>1916</c:v>
                </c:pt>
                <c:pt idx="9">
                  <c:v>1917</c:v>
                </c:pt>
                <c:pt idx="10">
                  <c:v>1918</c:v>
                </c:pt>
                <c:pt idx="11">
                  <c:v>1919</c:v>
                </c:pt>
                <c:pt idx="12">
                  <c:v>1920</c:v>
                </c:pt>
                <c:pt idx="13">
                  <c:v>1921</c:v>
                </c:pt>
                <c:pt idx="14">
                  <c:v>1922</c:v>
                </c:pt>
                <c:pt idx="15">
                  <c:v>1923</c:v>
                </c:pt>
                <c:pt idx="16">
                  <c:v>1924</c:v>
                </c:pt>
                <c:pt idx="17">
                  <c:v>1925</c:v>
                </c:pt>
                <c:pt idx="18">
                  <c:v>1926</c:v>
                </c:pt>
                <c:pt idx="19">
                  <c:v>1927</c:v>
                </c:pt>
                <c:pt idx="20">
                  <c:v>1928</c:v>
                </c:pt>
                <c:pt idx="21">
                  <c:v>1929</c:v>
                </c:pt>
                <c:pt idx="22">
                  <c:v>1930</c:v>
                </c:pt>
                <c:pt idx="23">
                  <c:v>1931</c:v>
                </c:pt>
                <c:pt idx="24">
                  <c:v>1932</c:v>
                </c:pt>
                <c:pt idx="25">
                  <c:v>1933</c:v>
                </c:pt>
                <c:pt idx="26">
                  <c:v>1934</c:v>
                </c:pt>
              </c:strCache>
            </c:strRef>
          </c:cat>
          <c:val>
            <c:numRef>
              <c:f>13_Redescuentos_bancos!$B$5:$B$31</c:f>
              <c:numCache>
                <c:formatCode>#,##0.0</c:formatCode>
                <c:ptCount val="27"/>
                <c:pt idx="0">
                  <c:v>3</c:v>
                </c:pt>
                <c:pt idx="1">
                  <c:v>2.7</c:v>
                </c:pt>
                <c:pt idx="2">
                  <c:v>4.4</c:v>
                </c:pt>
                <c:pt idx="3">
                  <c:v>5.8</c:v>
                </c:pt>
                <c:pt idx="4">
                  <c:v>8.9</c:v>
                </c:pt>
                <c:pt idx="5">
                  <c:v>7.7</c:v>
                </c:pt>
                <c:pt idx="6">
                  <c:v>43.2</c:v>
                </c:pt>
                <c:pt idx="7">
                  <c:v>13.4</c:v>
                </c:pt>
                <c:pt idx="8">
                  <c:v>15.6</c:v>
                </c:pt>
                <c:pt idx="9">
                  <c:v>6.6</c:v>
                </c:pt>
                <c:pt idx="10">
                  <c:v>0</c:v>
                </c:pt>
                <c:pt idx="11">
                  <c:v>0</c:v>
                </c:pt>
                <c:pt idx="12">
                  <c:v>0</c:v>
                </c:pt>
                <c:pt idx="13">
                  <c:v>37.9</c:v>
                </c:pt>
                <c:pt idx="14">
                  <c:v>12.9</c:v>
                </c:pt>
                <c:pt idx="15">
                  <c:v>107</c:v>
                </c:pt>
                <c:pt idx="16">
                  <c:v>121.6</c:v>
                </c:pt>
                <c:pt idx="17">
                  <c:v>123</c:v>
                </c:pt>
                <c:pt idx="18">
                  <c:v>147.2</c:v>
                </c:pt>
                <c:pt idx="19">
                  <c:v>106.4</c:v>
                </c:pt>
                <c:pt idx="20">
                  <c:v>91.6</c:v>
                </c:pt>
                <c:pt idx="21">
                  <c:v>156.2</c:v>
                </c:pt>
                <c:pt idx="22">
                  <c:v>151.5</c:v>
                </c:pt>
                <c:pt idx="23">
                  <c:v>284.8</c:v>
                </c:pt>
                <c:pt idx="24">
                  <c:v>315.9</c:v>
                </c:pt>
                <c:pt idx="25">
                  <c:v>292.6</c:v>
                </c:pt>
                <c:pt idx="26">
                  <c:v>295.2</c:v>
                </c:pt>
              </c:numCache>
            </c:numRef>
          </c:val>
        </c:ser>
        <c:gapWidth val="150"/>
        <c:overlap val="0"/>
        <c:axId val="47111798"/>
        <c:axId val="32807993"/>
      </c:barChart>
      <c:lineChart>
        <c:grouping val="standard"/>
        <c:varyColors val="0"/>
        <c:ser>
          <c:idx val="1"/>
          <c:order val="1"/>
          <c:tx>
            <c:strRef>
              <c:f>13_Redescuentos_bancos!C4</c:f>
              <c:strCache>
                <c:ptCount val="1"/>
                <c:pt idx="0">
                  <c:v>Redescuentos / reservas
de los otros bancos</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13_Redescuentos_bancos!$A$5:$A$31</c:f>
              <c:strCache>
                <c:ptCount val="27"/>
                <c:pt idx="0">
                  <c:v>1908</c:v>
                </c:pt>
                <c:pt idx="1">
                  <c:v>1909</c:v>
                </c:pt>
                <c:pt idx="2">
                  <c:v>1910</c:v>
                </c:pt>
                <c:pt idx="3">
                  <c:v>1911</c:v>
                </c:pt>
                <c:pt idx="4">
                  <c:v>1912</c:v>
                </c:pt>
                <c:pt idx="5">
                  <c:v>1913</c:v>
                </c:pt>
                <c:pt idx="6">
                  <c:v>1914</c:v>
                </c:pt>
                <c:pt idx="7">
                  <c:v>1915</c:v>
                </c:pt>
                <c:pt idx="8">
                  <c:v>1916</c:v>
                </c:pt>
                <c:pt idx="9">
                  <c:v>1917</c:v>
                </c:pt>
                <c:pt idx="10">
                  <c:v>1918</c:v>
                </c:pt>
                <c:pt idx="11">
                  <c:v>1919</c:v>
                </c:pt>
                <c:pt idx="12">
                  <c:v>1920</c:v>
                </c:pt>
                <c:pt idx="13">
                  <c:v>1921</c:v>
                </c:pt>
                <c:pt idx="14">
                  <c:v>1922</c:v>
                </c:pt>
                <c:pt idx="15">
                  <c:v>1923</c:v>
                </c:pt>
                <c:pt idx="16">
                  <c:v>1924</c:v>
                </c:pt>
                <c:pt idx="17">
                  <c:v>1925</c:v>
                </c:pt>
                <c:pt idx="18">
                  <c:v>1926</c:v>
                </c:pt>
                <c:pt idx="19">
                  <c:v>1927</c:v>
                </c:pt>
                <c:pt idx="20">
                  <c:v>1928</c:v>
                </c:pt>
                <c:pt idx="21">
                  <c:v>1929</c:v>
                </c:pt>
                <c:pt idx="22">
                  <c:v>1930</c:v>
                </c:pt>
                <c:pt idx="23">
                  <c:v>1931</c:v>
                </c:pt>
                <c:pt idx="24">
                  <c:v>1932</c:v>
                </c:pt>
                <c:pt idx="25">
                  <c:v>1933</c:v>
                </c:pt>
                <c:pt idx="26">
                  <c:v>1934</c:v>
                </c:pt>
              </c:strCache>
            </c:strRef>
          </c:cat>
          <c:val>
            <c:numRef>
              <c:f>13_Redescuentos_bancos!$C$5:$C$31</c:f>
              <c:numCache>
                <c:formatCode>0.0%</c:formatCode>
                <c:ptCount val="27"/>
                <c:pt idx="0">
                  <c:v>0.014</c:v>
                </c:pt>
                <c:pt idx="1">
                  <c:v>0.01</c:v>
                </c:pt>
                <c:pt idx="2">
                  <c:v>0.015</c:v>
                </c:pt>
                <c:pt idx="3">
                  <c:v>0.019</c:v>
                </c:pt>
                <c:pt idx="4">
                  <c:v>0.028</c:v>
                </c:pt>
                <c:pt idx="5">
                  <c:v>0.024</c:v>
                </c:pt>
                <c:pt idx="6">
                  <c:v>0.17</c:v>
                </c:pt>
                <c:pt idx="7">
                  <c:v>0.05</c:v>
                </c:pt>
                <c:pt idx="8">
                  <c:v>0.05</c:v>
                </c:pt>
                <c:pt idx="9">
                  <c:v>0.02</c:v>
                </c:pt>
                <c:pt idx="10">
                  <c:v>0</c:v>
                </c:pt>
                <c:pt idx="11">
                  <c:v>0</c:v>
                </c:pt>
                <c:pt idx="12">
                  <c:v>0</c:v>
                </c:pt>
                <c:pt idx="13">
                  <c:v>0.05</c:v>
                </c:pt>
                <c:pt idx="14">
                  <c:v>0.02</c:v>
                </c:pt>
                <c:pt idx="15">
                  <c:v>0.15</c:v>
                </c:pt>
                <c:pt idx="16">
                  <c:v>0.25</c:v>
                </c:pt>
                <c:pt idx="17">
                  <c:v>0.26</c:v>
                </c:pt>
                <c:pt idx="18">
                  <c:v>0.3</c:v>
                </c:pt>
                <c:pt idx="19">
                  <c:v>0.21</c:v>
                </c:pt>
                <c:pt idx="20">
                  <c:v>0.18</c:v>
                </c:pt>
                <c:pt idx="21">
                  <c:v>0.41</c:v>
                </c:pt>
                <c:pt idx="22">
                  <c:v>0.31</c:v>
                </c:pt>
                <c:pt idx="23">
                  <c:v>0.61</c:v>
                </c:pt>
                <c:pt idx="24">
                  <c:v>0.53</c:v>
                </c:pt>
                <c:pt idx="25">
                  <c:v>0.55</c:v>
                </c:pt>
                <c:pt idx="26">
                  <c:v>0.7</c:v>
                </c:pt>
              </c:numCache>
            </c:numRef>
          </c:val>
          <c:smooth val="1"/>
        </c:ser>
        <c:hiLowLines>
          <c:spPr>
            <a:ln w="0">
              <a:noFill/>
            </a:ln>
          </c:spPr>
        </c:hiLowLines>
        <c:marker val="0"/>
        <c:axId val="63109018"/>
        <c:axId val="93435724"/>
      </c:lineChart>
      <c:catAx>
        <c:axId val="4711179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807993"/>
        <c:crosses val="autoZero"/>
        <c:auto val="1"/>
        <c:lblAlgn val="ctr"/>
        <c:lblOffset val="100"/>
        <c:noMultiLvlLbl val="0"/>
      </c:catAx>
      <c:valAx>
        <c:axId val="3280799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Millones de m$n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111798"/>
        <c:crosses val="autoZero"/>
        <c:crossBetween val="between"/>
      </c:valAx>
      <c:catAx>
        <c:axId val="63109018"/>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3435724"/>
        <c:crosses val="autoZero"/>
        <c:auto val="1"/>
        <c:lblAlgn val="ctr"/>
        <c:lblOffset val="100"/>
        <c:noMultiLvlLbl val="0"/>
      </c:catAx>
      <c:valAx>
        <c:axId val="93435724"/>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de las reservas de los otros bancos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109018"/>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Cuenta Tesorería vs. límite legal y redescuentos de Letras, 1900-1934</a:t>
            </a:r>
          </a:p>
        </c:rich>
      </c:tx>
      <c:overlay val="0"/>
      <c:spPr>
        <a:noFill/>
        <a:ln w="0">
          <a:noFill/>
        </a:ln>
      </c:spPr>
    </c:title>
    <c:autoTitleDeleted val="0"/>
    <c:plotArea>
      <c:lineChart>
        <c:grouping val="standard"/>
        <c:varyColors val="0"/>
        <c:ser>
          <c:idx val="0"/>
          <c:order val="0"/>
          <c:tx>
            <c:strRef>
              <c:f>14_Cuenta_Tesoreria!B4</c:f>
              <c:strCache>
                <c:ptCount val="1"/>
                <c:pt idx="0">
                  <c:v>Saldos deudores
Cta. Tesorería Gral.</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14_Cuenta_Tesoreria!$A$5:$A$39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14_Cuenta_Tesoreria!$B$5:$B$39</c:f>
              <c:numCache>
                <c:formatCode>#,##0.0</c:formatCode>
                <c:ptCount val="35"/>
                <c:pt idx="0">
                  <c:v>1.8</c:v>
                </c:pt>
                <c:pt idx="1">
                  <c:v>1</c:v>
                </c:pt>
                <c:pt idx="2">
                  <c:v>5.3</c:v>
                </c:pt>
                <c:pt idx="3">
                  <c:v>0.3</c:v>
                </c:pt>
                <c:pt idx="6">
                  <c:v>0.6</c:v>
                </c:pt>
                <c:pt idx="7">
                  <c:v>1.4</c:v>
                </c:pt>
                <c:pt idx="14">
                  <c:v>0.7</c:v>
                </c:pt>
                <c:pt idx="15">
                  <c:v>21.5</c:v>
                </c:pt>
                <c:pt idx="16">
                  <c:v>52.6</c:v>
                </c:pt>
                <c:pt idx="17">
                  <c:v>49.4</c:v>
                </c:pt>
                <c:pt idx="18">
                  <c:v>56</c:v>
                </c:pt>
                <c:pt idx="19">
                  <c:v>64.1</c:v>
                </c:pt>
                <c:pt idx="20">
                  <c:v>7.8</c:v>
                </c:pt>
                <c:pt idx="21">
                  <c:v>54.3</c:v>
                </c:pt>
                <c:pt idx="29">
                  <c:v>20.5</c:v>
                </c:pt>
                <c:pt idx="30">
                  <c:v>113.5</c:v>
                </c:pt>
                <c:pt idx="31">
                  <c:v>146.6</c:v>
                </c:pt>
                <c:pt idx="32">
                  <c:v>123.7</c:v>
                </c:pt>
                <c:pt idx="33">
                  <c:v>123.7</c:v>
                </c:pt>
                <c:pt idx="34">
                  <c:v>123.7</c:v>
                </c:pt>
              </c:numCache>
            </c:numRef>
          </c:val>
          <c:smooth val="1"/>
        </c:ser>
        <c:ser>
          <c:idx val="1"/>
          <c:order val="1"/>
          <c:tx>
            <c:strRef>
              <c:f>14_Cuenta_Tesoreria!C4</c:f>
              <c:strCache>
                <c:ptCount val="1"/>
                <c:pt idx="0">
                  <c:v>Límite legal</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14_Cuenta_Tesoreria!$A$5:$A$39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14_Cuenta_Tesoreria!$C$5:$C$39</c:f>
              <c:numCache>
                <c:formatCode>#,##0.0</c:formatCode>
                <c:ptCount val="35"/>
                <c:pt idx="0">
                  <c:v>2</c:v>
                </c:pt>
                <c:pt idx="1">
                  <c:v>2</c:v>
                </c:pt>
                <c:pt idx="2">
                  <c:v>6</c:v>
                </c:pt>
                <c:pt idx="3">
                  <c:v>6</c:v>
                </c:pt>
                <c:pt idx="4">
                  <c:v>10.9</c:v>
                </c:pt>
                <c:pt idx="5">
                  <c:v>12.2</c:v>
                </c:pt>
                <c:pt idx="6">
                  <c:v>12.4</c:v>
                </c:pt>
                <c:pt idx="7">
                  <c:v>13.5</c:v>
                </c:pt>
                <c:pt idx="8">
                  <c:v>25</c:v>
                </c:pt>
                <c:pt idx="9">
                  <c:v>26.4</c:v>
                </c:pt>
                <c:pt idx="10">
                  <c:v>27.9</c:v>
                </c:pt>
                <c:pt idx="11">
                  <c:v>29.4</c:v>
                </c:pt>
                <c:pt idx="12">
                  <c:v>31</c:v>
                </c:pt>
                <c:pt idx="13">
                  <c:v>32.2</c:v>
                </c:pt>
                <c:pt idx="14">
                  <c:v>32.2</c:v>
                </c:pt>
                <c:pt idx="15">
                  <c:v>32.2</c:v>
                </c:pt>
                <c:pt idx="16">
                  <c:v>32.2</c:v>
                </c:pt>
                <c:pt idx="17">
                  <c:v>32.7</c:v>
                </c:pt>
                <c:pt idx="18">
                  <c:v>34</c:v>
                </c:pt>
                <c:pt idx="19">
                  <c:v>36.4</c:v>
                </c:pt>
                <c:pt idx="20">
                  <c:v>39</c:v>
                </c:pt>
                <c:pt idx="21">
                  <c:v>41</c:v>
                </c:pt>
                <c:pt idx="22">
                  <c:v>42</c:v>
                </c:pt>
                <c:pt idx="23">
                  <c:v>42</c:v>
                </c:pt>
                <c:pt idx="24">
                  <c:v>42</c:v>
                </c:pt>
                <c:pt idx="25">
                  <c:v>42</c:v>
                </c:pt>
                <c:pt idx="26">
                  <c:v>42.4</c:v>
                </c:pt>
                <c:pt idx="27">
                  <c:v>43.9</c:v>
                </c:pt>
                <c:pt idx="28">
                  <c:v>44.3</c:v>
                </c:pt>
                <c:pt idx="29">
                  <c:v>44.8</c:v>
                </c:pt>
                <c:pt idx="30">
                  <c:v>45.4</c:v>
                </c:pt>
                <c:pt idx="31">
                  <c:v>45.9</c:v>
                </c:pt>
                <c:pt idx="32">
                  <c:v>46.8</c:v>
                </c:pt>
                <c:pt idx="33">
                  <c:v>47.1</c:v>
                </c:pt>
                <c:pt idx="34">
                  <c:v>47.2</c:v>
                </c:pt>
              </c:numCache>
            </c:numRef>
          </c:val>
          <c:smooth val="1"/>
        </c:ser>
        <c:ser>
          <c:idx val="2"/>
          <c:order val="2"/>
          <c:tx>
            <c:strRef>
              <c:f>14_Cuenta_Tesoreria!D4</c:f>
              <c:strCache>
                <c:ptCount val="1"/>
                <c:pt idx="0">
                  <c:v>Excesos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14_Cuenta_Tesoreria!$A$5:$A$39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14_Cuenta_Tesoreria!$D$5:$D$39</c:f>
              <c:numCache>
                <c:formatCode>#,##0.0</c:formatCode>
                <c:ptCount val="35"/>
                <c:pt idx="16">
                  <c:v>20.3</c:v>
                </c:pt>
                <c:pt idx="17">
                  <c:v>16.8</c:v>
                </c:pt>
                <c:pt idx="18">
                  <c:v>22</c:v>
                </c:pt>
                <c:pt idx="19">
                  <c:v>27.7</c:v>
                </c:pt>
                <c:pt idx="21">
                  <c:v>13.3</c:v>
                </c:pt>
                <c:pt idx="30">
                  <c:v>68.1</c:v>
                </c:pt>
                <c:pt idx="31">
                  <c:v>100.7</c:v>
                </c:pt>
                <c:pt idx="32">
                  <c:v>76.9</c:v>
                </c:pt>
                <c:pt idx="33">
                  <c:v>76.6</c:v>
                </c:pt>
                <c:pt idx="34">
                  <c:v>76.5</c:v>
                </c:pt>
              </c:numCache>
            </c:numRef>
          </c:val>
          <c:smooth val="1"/>
        </c:ser>
        <c:ser>
          <c:idx val="3"/>
          <c:order val="3"/>
          <c:tx>
            <c:strRef>
              <c:f>14_Cuenta_Tesoreria!E4</c:f>
              <c:strCache>
                <c:ptCount val="1"/>
                <c:pt idx="0">
                  <c:v>Redescuentos de
Letras de Tesorería</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14_Cuenta_Tesoreria!$A$5:$A$39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14_Cuenta_Tesoreria!$E$5:$E$39</c:f>
              <c:numCache>
                <c:formatCode>#,##0.0</c:formatCode>
                <c:ptCount val="35"/>
                <c:pt idx="14">
                  <c:v>0</c:v>
                </c:pt>
                <c:pt idx="15">
                  <c:v>49.6</c:v>
                </c:pt>
                <c:pt idx="16">
                  <c:v>59.2</c:v>
                </c:pt>
                <c:pt idx="17">
                  <c:v>112.5</c:v>
                </c:pt>
                <c:pt idx="18">
                  <c:v>80</c:v>
                </c:pt>
                <c:pt idx="19">
                  <c:v>160.9</c:v>
                </c:pt>
                <c:pt idx="20">
                  <c:v>169.8</c:v>
                </c:pt>
                <c:pt idx="21">
                  <c:v>144.1</c:v>
                </c:pt>
                <c:pt idx="22">
                  <c:v>211.3</c:v>
                </c:pt>
                <c:pt idx="23">
                  <c:v>244</c:v>
                </c:pt>
                <c:pt idx="24">
                  <c:v>281.5</c:v>
                </c:pt>
                <c:pt idx="25">
                  <c:v>269.6</c:v>
                </c:pt>
                <c:pt idx="26">
                  <c:v>265.9</c:v>
                </c:pt>
                <c:pt idx="27">
                  <c:v>245.6</c:v>
                </c:pt>
                <c:pt idx="28">
                  <c:v>268.8</c:v>
                </c:pt>
                <c:pt idx="29">
                  <c:v>302.7</c:v>
                </c:pt>
                <c:pt idx="30">
                  <c:v>278.9</c:v>
                </c:pt>
                <c:pt idx="31">
                  <c:v>303.2</c:v>
                </c:pt>
                <c:pt idx="32">
                  <c:v>244</c:v>
                </c:pt>
                <c:pt idx="33">
                  <c:v>246.8</c:v>
                </c:pt>
                <c:pt idx="34">
                  <c:v>273.8</c:v>
                </c:pt>
              </c:numCache>
            </c:numRef>
          </c:val>
          <c:smooth val="1"/>
        </c:ser>
        <c:hiLowLines>
          <c:spPr>
            <a:ln w="0">
              <a:noFill/>
            </a:ln>
          </c:spPr>
        </c:hiLowLines>
        <c:marker val="0"/>
        <c:axId val="96052065"/>
        <c:axId val="99196211"/>
      </c:lineChart>
      <c:catAx>
        <c:axId val="96052065"/>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196211"/>
        <c:crosses val="autoZero"/>
        <c:auto val="1"/>
        <c:lblAlgn val="ctr"/>
        <c:lblOffset val="100"/>
        <c:noMultiLvlLbl val="0"/>
      </c:catAx>
      <c:valAx>
        <c:axId val="9919621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Millones de m$n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05206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Financiamiento de largo plazo del BNA al Estado, 1900-1934</a:t>
            </a:r>
          </a:p>
        </c:rich>
      </c:tx>
      <c:overlay val="0"/>
      <c:spPr>
        <a:noFill/>
        <a:ln w="0">
          <a:noFill/>
        </a:ln>
      </c:spPr>
    </c:title>
    <c:autoTitleDeleted val="0"/>
    <c:plotArea>
      <c:barChart>
        <c:barDir val="col"/>
        <c:grouping val="stacked"/>
        <c:varyColors val="0"/>
        <c:ser>
          <c:idx val="0"/>
          <c:order val="0"/>
          <c:tx>
            <c:strRef>
              <c:f>15_Financ_LP_al_Estado!B4</c:f>
              <c:strCache>
                <c:ptCount val="1"/>
                <c:pt idx="0">
                  <c:v>Préstamos oficiales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15_Financ_LP_al_Estado!$A$5:$A$39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15_Financ_LP_al_Estado!$B$5:$B$39</c:f>
              <c:numCache>
                <c:formatCode>#,##0.0</c:formatCode>
                <c:ptCount val="35"/>
                <c:pt idx="14">
                  <c:v>0</c:v>
                </c:pt>
                <c:pt idx="15">
                  <c:v>0</c:v>
                </c:pt>
                <c:pt idx="16">
                  <c:v>0</c:v>
                </c:pt>
                <c:pt idx="17">
                  <c:v>73.4</c:v>
                </c:pt>
                <c:pt idx="18">
                  <c:v>454.5</c:v>
                </c:pt>
                <c:pt idx="19">
                  <c:v>361.5</c:v>
                </c:pt>
                <c:pt idx="20">
                  <c:v>338.4</c:v>
                </c:pt>
                <c:pt idx="21">
                  <c:v>147.8</c:v>
                </c:pt>
                <c:pt idx="22">
                  <c:v>150.9</c:v>
                </c:pt>
                <c:pt idx="23">
                  <c:v>152.7</c:v>
                </c:pt>
                <c:pt idx="24">
                  <c:v>154.6</c:v>
                </c:pt>
                <c:pt idx="25">
                  <c:v>84.6</c:v>
                </c:pt>
                <c:pt idx="26">
                  <c:v>86.7</c:v>
                </c:pt>
                <c:pt idx="27">
                  <c:v>76.1</c:v>
                </c:pt>
                <c:pt idx="28">
                  <c:v>70.1</c:v>
                </c:pt>
                <c:pt idx="29">
                  <c:v>71.4</c:v>
                </c:pt>
                <c:pt idx="30">
                  <c:v>67.4</c:v>
                </c:pt>
                <c:pt idx="31">
                  <c:v>94.4</c:v>
                </c:pt>
                <c:pt idx="32">
                  <c:v>94.9</c:v>
                </c:pt>
                <c:pt idx="33">
                  <c:v>336.2</c:v>
                </c:pt>
                <c:pt idx="34">
                  <c:v>349</c:v>
                </c:pt>
              </c:numCache>
            </c:numRef>
          </c:val>
        </c:ser>
        <c:ser>
          <c:idx val="1"/>
          <c:order val="1"/>
          <c:tx>
            <c:strRef>
              <c:f>15_Financ_LP_al_Estado!C4</c:f>
              <c:strCache>
                <c:ptCount val="1"/>
                <c:pt idx="0">
                  <c:v>Fondos públicos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15_Financ_LP_al_Estado!$A$5:$A$39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15_Financ_LP_al_Estado!$C$5:$C$39</c:f>
              <c:numCache>
                <c:formatCode>#,##0.0</c:formatCode>
                <c:ptCount val="35"/>
                <c:pt idx="0">
                  <c:v>14.6</c:v>
                </c:pt>
                <c:pt idx="1">
                  <c:v>12.4</c:v>
                </c:pt>
                <c:pt idx="2">
                  <c:v>11.5</c:v>
                </c:pt>
                <c:pt idx="3">
                  <c:v>6</c:v>
                </c:pt>
                <c:pt idx="4">
                  <c:v>5.2</c:v>
                </c:pt>
                <c:pt idx="5">
                  <c:v>0</c:v>
                </c:pt>
                <c:pt idx="6">
                  <c:v>0</c:v>
                </c:pt>
                <c:pt idx="7">
                  <c:v>0</c:v>
                </c:pt>
                <c:pt idx="8">
                  <c:v>37.7</c:v>
                </c:pt>
                <c:pt idx="9">
                  <c:v>1.3</c:v>
                </c:pt>
                <c:pt idx="10">
                  <c:v>1.3</c:v>
                </c:pt>
                <c:pt idx="11">
                  <c:v>1.3</c:v>
                </c:pt>
                <c:pt idx="12">
                  <c:v>1.3</c:v>
                </c:pt>
                <c:pt idx="13">
                  <c:v>1.3</c:v>
                </c:pt>
                <c:pt idx="16">
                  <c:v>21.3</c:v>
                </c:pt>
                <c:pt idx="17">
                  <c:v>44</c:v>
                </c:pt>
                <c:pt idx="18">
                  <c:v>42.6</c:v>
                </c:pt>
                <c:pt idx="19">
                  <c:v>43</c:v>
                </c:pt>
                <c:pt idx="20">
                  <c:v>47.7</c:v>
                </c:pt>
                <c:pt idx="21">
                  <c:v>48.4</c:v>
                </c:pt>
                <c:pt idx="22">
                  <c:v>43.4</c:v>
                </c:pt>
                <c:pt idx="23">
                  <c:v>46.5</c:v>
                </c:pt>
                <c:pt idx="24">
                  <c:v>41.2</c:v>
                </c:pt>
                <c:pt idx="25">
                  <c:v>39.8</c:v>
                </c:pt>
                <c:pt idx="26">
                  <c:v>39.2</c:v>
                </c:pt>
                <c:pt idx="27">
                  <c:v>38.3</c:v>
                </c:pt>
                <c:pt idx="28">
                  <c:v>38.4</c:v>
                </c:pt>
                <c:pt idx="29">
                  <c:v>49.5</c:v>
                </c:pt>
                <c:pt idx="30">
                  <c:v>49.3</c:v>
                </c:pt>
                <c:pt idx="31">
                  <c:v>60.4</c:v>
                </c:pt>
                <c:pt idx="32">
                  <c:v>38.8</c:v>
                </c:pt>
                <c:pt idx="33">
                  <c:v>38.8</c:v>
                </c:pt>
                <c:pt idx="34">
                  <c:v>38.8</c:v>
                </c:pt>
              </c:numCache>
            </c:numRef>
          </c:val>
        </c:ser>
        <c:ser>
          <c:idx val="2"/>
          <c:order val="2"/>
          <c:tx>
            <c:strRef>
              <c:f>15_Financ_LP_al_Estado!D4</c:f>
              <c:strCache>
                <c:ptCount val="1"/>
                <c:pt idx="0">
                  <c:v>Adelantos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15_Financ_LP_al_Estado!$A$5:$A$39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15_Financ_LP_al_Estado!$D$5:$D$39</c:f>
              <c:numCache>
                <c:formatCode>#,##0.0</c:formatCode>
                <c:ptCount val="35"/>
                <c:pt idx="27">
                  <c:v>1.5</c:v>
                </c:pt>
                <c:pt idx="28">
                  <c:v>16.7</c:v>
                </c:pt>
                <c:pt idx="29">
                  <c:v>22.2</c:v>
                </c:pt>
                <c:pt idx="30">
                  <c:v>27.2</c:v>
                </c:pt>
                <c:pt idx="31">
                  <c:v>31.6</c:v>
                </c:pt>
                <c:pt idx="32">
                  <c:v>36.6</c:v>
                </c:pt>
                <c:pt idx="33">
                  <c:v>40.9</c:v>
                </c:pt>
                <c:pt idx="34">
                  <c:v>45.3</c:v>
                </c:pt>
              </c:numCache>
            </c:numRef>
          </c:val>
        </c:ser>
        <c:ser>
          <c:idx val="3"/>
          <c:order val="3"/>
          <c:tx>
            <c:strRef>
              <c:f>15_Financ_LP_al_Estado!E4</c:f>
              <c:strCache>
                <c:ptCount val="1"/>
                <c:pt idx="0">
                  <c:v>Reintegro del
Fondo de Conversión</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15_Financ_LP_al_Estado!$A$5:$A$39</c:f>
              <c:strCache>
                <c:ptCount val="35"/>
                <c:pt idx="0">
                  <c:v>1900</c:v>
                </c:pt>
                <c:pt idx="1">
                  <c:v>1901</c:v>
                </c:pt>
                <c:pt idx="2">
                  <c:v>1902</c:v>
                </c:pt>
                <c:pt idx="3">
                  <c:v>1903</c:v>
                </c:pt>
                <c:pt idx="4">
                  <c:v>1904</c:v>
                </c:pt>
                <c:pt idx="5">
                  <c:v>1905</c:v>
                </c:pt>
                <c:pt idx="6">
                  <c:v>1906</c:v>
                </c:pt>
                <c:pt idx="7">
                  <c:v>1907</c:v>
                </c:pt>
                <c:pt idx="8">
                  <c:v>1908</c:v>
                </c:pt>
                <c:pt idx="9">
                  <c:v>1909</c:v>
                </c:pt>
                <c:pt idx="10">
                  <c:v>1910</c:v>
                </c:pt>
                <c:pt idx="11">
                  <c:v>1911</c:v>
                </c:pt>
                <c:pt idx="12">
                  <c:v>1912</c:v>
                </c:pt>
                <c:pt idx="13">
                  <c:v>1913</c:v>
                </c:pt>
                <c:pt idx="14">
                  <c:v>1914</c:v>
                </c:pt>
                <c:pt idx="15">
                  <c:v>1915</c:v>
                </c:pt>
                <c:pt idx="16">
                  <c:v>1916</c:v>
                </c:pt>
                <c:pt idx="17">
                  <c:v>1917</c:v>
                </c:pt>
                <c:pt idx="18">
                  <c:v>1918</c:v>
                </c:pt>
                <c:pt idx="19">
                  <c:v>1919</c:v>
                </c:pt>
                <c:pt idx="20">
                  <c:v>1920</c:v>
                </c:pt>
                <c:pt idx="21">
                  <c:v>1921</c:v>
                </c:pt>
                <c:pt idx="22">
                  <c:v>1922</c:v>
                </c:pt>
                <c:pt idx="23">
                  <c:v>1923</c:v>
                </c:pt>
                <c:pt idx="24">
                  <c:v>1924</c:v>
                </c:pt>
                <c:pt idx="25">
                  <c:v>1925</c:v>
                </c:pt>
                <c:pt idx="26">
                  <c:v>1926</c:v>
                </c:pt>
                <c:pt idx="27">
                  <c:v>1927</c:v>
                </c:pt>
                <c:pt idx="28">
                  <c:v>1928</c:v>
                </c:pt>
                <c:pt idx="29">
                  <c:v>1929</c:v>
                </c:pt>
                <c:pt idx="30">
                  <c:v>1930</c:v>
                </c:pt>
                <c:pt idx="31">
                  <c:v>1931</c:v>
                </c:pt>
                <c:pt idx="32">
                  <c:v>1932</c:v>
                </c:pt>
                <c:pt idx="33">
                  <c:v>1933</c:v>
                </c:pt>
                <c:pt idx="34">
                  <c:v>1934</c:v>
                </c:pt>
              </c:strCache>
            </c:strRef>
          </c:cat>
          <c:val>
            <c:numRef>
              <c:f>15_Financ_LP_al_Estado!$E$5:$E$39</c:f>
              <c:numCache>
                <c:formatCode>#,##0.0</c:formatCode>
                <c:ptCount val="35"/>
                <c:pt idx="27">
                  <c:v>15.9</c:v>
                </c:pt>
                <c:pt idx="28">
                  <c:v>15.9</c:v>
                </c:pt>
                <c:pt idx="29">
                  <c:v>15.9</c:v>
                </c:pt>
                <c:pt idx="30">
                  <c:v>15.9</c:v>
                </c:pt>
                <c:pt idx="31">
                  <c:v>15.9</c:v>
                </c:pt>
                <c:pt idx="32">
                  <c:v>15.9</c:v>
                </c:pt>
                <c:pt idx="33">
                  <c:v>15.9</c:v>
                </c:pt>
                <c:pt idx="34">
                  <c:v>15.9</c:v>
                </c:pt>
              </c:numCache>
            </c:numRef>
          </c:val>
        </c:ser>
        <c:gapWidth val="150"/>
        <c:overlap val="100"/>
        <c:axId val="75399694"/>
        <c:axId val="97333851"/>
      </c:barChart>
      <c:catAx>
        <c:axId val="75399694"/>
        <c:scaling>
          <c:orientation val="minMax"/>
        </c:scaling>
        <c:delete val="0"/>
        <c:axPos val="b"/>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333851"/>
        <c:crosses val="autoZero"/>
        <c:auto val="1"/>
        <c:lblAlgn val="ctr"/>
        <c:lblOffset val="100"/>
        <c:noMultiLvlLbl val="0"/>
      </c:catAx>
      <c:valAx>
        <c:axId val="973338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Millones de m$n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39969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Crecimiento de depósitos por grupo de bancos, 1914-1915</a:t>
            </a:r>
          </a:p>
        </c:rich>
      </c:tx>
      <c:overlay val="0"/>
      <c:spPr>
        <a:noFill/>
        <a:ln w="0">
          <a:noFill/>
        </a:ln>
      </c:spPr>
    </c:title>
    <c:autoTitleDeleted val="0"/>
    <c:plotArea>
      <c:barChart>
        <c:barDir val="col"/>
        <c:grouping val="clustered"/>
        <c:varyColors val="0"/>
        <c:ser>
          <c:idx val="0"/>
          <c:order val="0"/>
          <c:tx>
            <c:strRef>
              <c:f>16_Depositos_1913_1915!B4</c:f>
              <c:strCache>
                <c:ptCount val="1"/>
                <c:pt idx="0">
                  <c:v>Banco Nación</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16_Depositos_1913_1915!$A$5:$A$14</c:f>
              <c:strCache>
                <c:ptCount val="10"/>
                <c:pt idx="0">
                  <c:v>1914 (total)</c:v>
                </c:pt>
                <c:pt idx="1">
                  <c:v>I trim 1914</c:v>
                </c:pt>
                <c:pt idx="2">
                  <c:v>II trim 1914</c:v>
                </c:pt>
                <c:pt idx="3">
                  <c:v>III trim 1914</c:v>
                </c:pt>
                <c:pt idx="4">
                  <c:v>IV trim 1914</c:v>
                </c:pt>
                <c:pt idx="5">
                  <c:v>1915 (total)</c:v>
                </c:pt>
                <c:pt idx="6">
                  <c:v>I trim 1915</c:v>
                </c:pt>
                <c:pt idx="7">
                  <c:v>II trim 1915</c:v>
                </c:pt>
                <c:pt idx="8">
                  <c:v>III trim 1915</c:v>
                </c:pt>
                <c:pt idx="9">
                  <c:v>IV trim 1915</c:v>
                </c:pt>
              </c:strCache>
            </c:strRef>
          </c:cat>
          <c:val>
            <c:numRef>
              <c:f>16_Depositos_1913_1915!$B$5:$B$14</c:f>
              <c:numCache>
                <c:formatCode>0.0%</c:formatCode>
                <c:ptCount val="10"/>
                <c:pt idx="0">
                  <c:v>0.074</c:v>
                </c:pt>
                <c:pt idx="1">
                  <c:v>0.009</c:v>
                </c:pt>
                <c:pt idx="2">
                  <c:v>-0.001</c:v>
                </c:pt>
                <c:pt idx="3">
                  <c:v>-0.02</c:v>
                </c:pt>
                <c:pt idx="4">
                  <c:v>0.087</c:v>
                </c:pt>
                <c:pt idx="5">
                  <c:v>0.164</c:v>
                </c:pt>
                <c:pt idx="6">
                  <c:v>0.086</c:v>
                </c:pt>
                <c:pt idx="7">
                  <c:v>0.023</c:v>
                </c:pt>
                <c:pt idx="8">
                  <c:v>0.024</c:v>
                </c:pt>
                <c:pt idx="9">
                  <c:v>0.023</c:v>
                </c:pt>
              </c:numCache>
            </c:numRef>
          </c:val>
        </c:ser>
        <c:ser>
          <c:idx val="1"/>
          <c:order val="1"/>
          <c:tx>
            <c:strRef>
              <c:f>16_Depositos_1913_1915!C4</c:f>
              <c:strCache>
                <c:ptCount val="1"/>
                <c:pt idx="0">
                  <c:v>Bancos nacionales
(excl. BNA)</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16_Depositos_1913_1915!$A$5:$A$14</c:f>
              <c:strCache>
                <c:ptCount val="10"/>
                <c:pt idx="0">
                  <c:v>1914 (total)</c:v>
                </c:pt>
                <c:pt idx="1">
                  <c:v>I trim 1914</c:v>
                </c:pt>
                <c:pt idx="2">
                  <c:v>II trim 1914</c:v>
                </c:pt>
                <c:pt idx="3">
                  <c:v>III trim 1914</c:v>
                </c:pt>
                <c:pt idx="4">
                  <c:v>IV trim 1914</c:v>
                </c:pt>
                <c:pt idx="5">
                  <c:v>1915 (total)</c:v>
                </c:pt>
                <c:pt idx="6">
                  <c:v>I trim 1915</c:v>
                </c:pt>
                <c:pt idx="7">
                  <c:v>II trim 1915</c:v>
                </c:pt>
                <c:pt idx="8">
                  <c:v>III trim 1915</c:v>
                </c:pt>
                <c:pt idx="9">
                  <c:v>IV trim 1915</c:v>
                </c:pt>
              </c:strCache>
            </c:strRef>
          </c:cat>
          <c:val>
            <c:numRef>
              <c:f>16_Depositos_1913_1915!$C$5:$C$14</c:f>
              <c:numCache>
                <c:formatCode>0.0%</c:formatCode>
                <c:ptCount val="10"/>
                <c:pt idx="0">
                  <c:v>-0.394</c:v>
                </c:pt>
                <c:pt idx="1">
                  <c:v>-0.031</c:v>
                </c:pt>
                <c:pt idx="2">
                  <c:v>-0.037</c:v>
                </c:pt>
                <c:pt idx="3">
                  <c:v>-0.235</c:v>
                </c:pt>
                <c:pt idx="4">
                  <c:v>-0.151</c:v>
                </c:pt>
                <c:pt idx="5">
                  <c:v>0.167</c:v>
                </c:pt>
                <c:pt idx="6">
                  <c:v>0.018</c:v>
                </c:pt>
                <c:pt idx="7">
                  <c:v>0.066</c:v>
                </c:pt>
                <c:pt idx="8">
                  <c:v>0.046</c:v>
                </c:pt>
                <c:pt idx="9">
                  <c:v>0.027</c:v>
                </c:pt>
              </c:numCache>
            </c:numRef>
          </c:val>
        </c:ser>
        <c:ser>
          <c:idx val="2"/>
          <c:order val="2"/>
          <c:tx>
            <c:strRef>
              <c:f>16_Depositos_1913_1915!D4</c:f>
              <c:strCache>
                <c:ptCount val="1"/>
                <c:pt idx="0">
                  <c:v>Bancos extranjeros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16_Depositos_1913_1915!$A$5:$A$14</c:f>
              <c:strCache>
                <c:ptCount val="10"/>
                <c:pt idx="0">
                  <c:v>1914 (total)</c:v>
                </c:pt>
                <c:pt idx="1">
                  <c:v>I trim 1914</c:v>
                </c:pt>
                <c:pt idx="2">
                  <c:v>II trim 1914</c:v>
                </c:pt>
                <c:pt idx="3">
                  <c:v>III trim 1914</c:v>
                </c:pt>
                <c:pt idx="4">
                  <c:v>IV trim 1914</c:v>
                </c:pt>
                <c:pt idx="5">
                  <c:v>1915 (total)</c:v>
                </c:pt>
                <c:pt idx="6">
                  <c:v>I trim 1915</c:v>
                </c:pt>
                <c:pt idx="7">
                  <c:v>II trim 1915</c:v>
                </c:pt>
                <c:pt idx="8">
                  <c:v>III trim 1915</c:v>
                </c:pt>
                <c:pt idx="9">
                  <c:v>IV trim 1915</c:v>
                </c:pt>
              </c:strCache>
            </c:strRef>
          </c:cat>
          <c:val>
            <c:numRef>
              <c:f>16_Depositos_1913_1915!$D$5:$D$14</c:f>
              <c:numCache>
                <c:formatCode>0.0%</c:formatCode>
                <c:ptCount val="10"/>
                <c:pt idx="0">
                  <c:v>-0.161</c:v>
                </c:pt>
                <c:pt idx="1">
                  <c:v>-0.024</c:v>
                </c:pt>
                <c:pt idx="2">
                  <c:v>-0.023</c:v>
                </c:pt>
                <c:pt idx="3">
                  <c:v>-0.089</c:v>
                </c:pt>
                <c:pt idx="4">
                  <c:v>-0.035</c:v>
                </c:pt>
                <c:pt idx="5">
                  <c:v>0.223</c:v>
                </c:pt>
                <c:pt idx="6">
                  <c:v>0.026</c:v>
                </c:pt>
                <c:pt idx="7">
                  <c:v>0.072</c:v>
                </c:pt>
                <c:pt idx="8">
                  <c:v>0.039</c:v>
                </c:pt>
                <c:pt idx="9">
                  <c:v>0.07</c:v>
                </c:pt>
              </c:numCache>
            </c:numRef>
          </c:val>
        </c:ser>
        <c:ser>
          <c:idx val="3"/>
          <c:order val="3"/>
          <c:tx>
            <c:strRef>
              <c:f>16_Depositos_1913_1915!E4</c:f>
              <c:strCache>
                <c:ptCount val="1"/>
                <c:pt idx="0">
                  <c:v>Total de bancos</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16_Depositos_1913_1915!$A$5:$A$14</c:f>
              <c:strCache>
                <c:ptCount val="10"/>
                <c:pt idx="0">
                  <c:v>1914 (total)</c:v>
                </c:pt>
                <c:pt idx="1">
                  <c:v>I trim 1914</c:v>
                </c:pt>
                <c:pt idx="2">
                  <c:v>II trim 1914</c:v>
                </c:pt>
                <c:pt idx="3">
                  <c:v>III trim 1914</c:v>
                </c:pt>
                <c:pt idx="4">
                  <c:v>IV trim 1914</c:v>
                </c:pt>
                <c:pt idx="5">
                  <c:v>1915 (total)</c:v>
                </c:pt>
                <c:pt idx="6">
                  <c:v>I trim 1915</c:v>
                </c:pt>
                <c:pt idx="7">
                  <c:v>II trim 1915</c:v>
                </c:pt>
                <c:pt idx="8">
                  <c:v>III trim 1915</c:v>
                </c:pt>
                <c:pt idx="9">
                  <c:v>IV trim 1915</c:v>
                </c:pt>
              </c:strCache>
            </c:strRef>
          </c:cat>
          <c:val>
            <c:numRef>
              <c:f>16_Depositos_1913_1915!$E$5:$E$14</c:f>
              <c:numCache>
                <c:formatCode>0.0%</c:formatCode>
                <c:ptCount val="10"/>
                <c:pt idx="0">
                  <c:v>-0.17</c:v>
                </c:pt>
                <c:pt idx="1">
                  <c:v>-0.015</c:v>
                </c:pt>
                <c:pt idx="2">
                  <c:v>-0.02</c:v>
                </c:pt>
                <c:pt idx="3">
                  <c:v>-0.12</c:v>
                </c:pt>
                <c:pt idx="4">
                  <c:v>-0.022</c:v>
                </c:pt>
                <c:pt idx="5">
                  <c:v>0.178</c:v>
                </c:pt>
                <c:pt idx="6">
                  <c:v>0.052</c:v>
                </c:pt>
                <c:pt idx="7">
                  <c:v>0.046</c:v>
                </c:pt>
                <c:pt idx="8">
                  <c:v>0.034</c:v>
                </c:pt>
                <c:pt idx="9">
                  <c:v>0.035</c:v>
                </c:pt>
              </c:numCache>
            </c:numRef>
          </c:val>
        </c:ser>
        <c:gapWidth val="150"/>
        <c:overlap val="0"/>
        <c:axId val="43027180"/>
        <c:axId val="45238753"/>
      </c:barChart>
      <c:catAx>
        <c:axId val="4302718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238753"/>
        <c:crosses val="autoZero"/>
        <c:auto val="1"/>
        <c:lblAlgn val="ctr"/>
        <c:lblOffset val="100"/>
        <c:noMultiLvlLbl val="0"/>
      </c:catAx>
      <c:valAx>
        <c:axId val="4523875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Tasa de crecimiento</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302718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Crecimiento trimestral de depósitos por grupo de bancos, 1929-1934</a:t>
            </a:r>
          </a:p>
        </c:rich>
      </c:tx>
      <c:overlay val="0"/>
      <c:spPr>
        <a:noFill/>
        <a:ln w="0">
          <a:noFill/>
        </a:ln>
      </c:spPr>
    </c:title>
    <c:autoTitleDeleted val="0"/>
    <c:plotArea>
      <c:lineChart>
        <c:grouping val="standard"/>
        <c:varyColors val="0"/>
        <c:ser>
          <c:idx val="0"/>
          <c:order val="0"/>
          <c:tx>
            <c:strRef>
              <c:f>17_Depositos_1929_1934!B4</c:f>
              <c:strCache>
                <c:ptCount val="1"/>
                <c:pt idx="0">
                  <c:v>Banco Nación</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17_Depositos_1929_1934!$A$5:$A$34</c:f>
              <c:strCache>
                <c:ptCount val="30"/>
                <c:pt idx="0">
                  <c:v>1929 (total)</c:v>
                </c:pt>
                <c:pt idx="1">
                  <c:v>I trim 1929</c:v>
                </c:pt>
                <c:pt idx="2">
                  <c:v>II trim 1929</c:v>
                </c:pt>
                <c:pt idx="3">
                  <c:v>III trim 1929</c:v>
                </c:pt>
                <c:pt idx="4">
                  <c:v>IV trim 1929</c:v>
                </c:pt>
                <c:pt idx="5">
                  <c:v>1930 (total)</c:v>
                </c:pt>
                <c:pt idx="6">
                  <c:v>I trim 1930</c:v>
                </c:pt>
                <c:pt idx="7">
                  <c:v>II trim 1930</c:v>
                </c:pt>
                <c:pt idx="8">
                  <c:v>III trim 1930</c:v>
                </c:pt>
                <c:pt idx="9">
                  <c:v>IV trim 1930</c:v>
                </c:pt>
                <c:pt idx="10">
                  <c:v>1931 (total)</c:v>
                </c:pt>
                <c:pt idx="11">
                  <c:v>I trim 1931</c:v>
                </c:pt>
                <c:pt idx="12">
                  <c:v>II trim 1931</c:v>
                </c:pt>
                <c:pt idx="13">
                  <c:v>III trim 1931</c:v>
                </c:pt>
                <c:pt idx="14">
                  <c:v>IV trim 1931</c:v>
                </c:pt>
                <c:pt idx="15">
                  <c:v>1932 (total)</c:v>
                </c:pt>
                <c:pt idx="16">
                  <c:v>I trim 1932</c:v>
                </c:pt>
                <c:pt idx="17">
                  <c:v>II trim 1932</c:v>
                </c:pt>
                <c:pt idx="18">
                  <c:v>III trim 1932</c:v>
                </c:pt>
                <c:pt idx="19">
                  <c:v>IV trim 1932</c:v>
                </c:pt>
                <c:pt idx="20">
                  <c:v>1933 (total)</c:v>
                </c:pt>
                <c:pt idx="21">
                  <c:v>I trim 1933</c:v>
                </c:pt>
                <c:pt idx="22">
                  <c:v>II trim 1933</c:v>
                </c:pt>
                <c:pt idx="23">
                  <c:v>III trim 1933</c:v>
                </c:pt>
                <c:pt idx="24">
                  <c:v>IV trim 1933</c:v>
                </c:pt>
                <c:pt idx="25">
                  <c:v>1934 (total)</c:v>
                </c:pt>
                <c:pt idx="26">
                  <c:v>I trim 1934</c:v>
                </c:pt>
                <c:pt idx="27">
                  <c:v>II trim 1934</c:v>
                </c:pt>
                <c:pt idx="28">
                  <c:v>III trim 1934</c:v>
                </c:pt>
                <c:pt idx="29">
                  <c:v>IV trim 1934</c:v>
                </c:pt>
              </c:strCache>
            </c:strRef>
          </c:cat>
          <c:val>
            <c:numRef>
              <c:f>17_Depositos_1929_1934!$B$5:$B$34</c:f>
              <c:numCache>
                <c:formatCode>0.0%</c:formatCode>
                <c:ptCount val="30"/>
                <c:pt idx="0">
                  <c:v>-0.049</c:v>
                </c:pt>
                <c:pt idx="1">
                  <c:v>0.001</c:v>
                </c:pt>
                <c:pt idx="2">
                  <c:v>-0.005</c:v>
                </c:pt>
                <c:pt idx="3">
                  <c:v>-0.021</c:v>
                </c:pt>
                <c:pt idx="4">
                  <c:v>-0.025</c:v>
                </c:pt>
                <c:pt idx="5">
                  <c:v>-0.017</c:v>
                </c:pt>
                <c:pt idx="6">
                  <c:v>0.002</c:v>
                </c:pt>
                <c:pt idx="7">
                  <c:v>-0.019</c:v>
                </c:pt>
                <c:pt idx="8">
                  <c:v>0.004</c:v>
                </c:pt>
                <c:pt idx="9">
                  <c:v>-0.004</c:v>
                </c:pt>
                <c:pt idx="10">
                  <c:v>-0.102</c:v>
                </c:pt>
                <c:pt idx="11">
                  <c:v>-0.029</c:v>
                </c:pt>
                <c:pt idx="12">
                  <c:v>0.001</c:v>
                </c:pt>
                <c:pt idx="13">
                  <c:v>-0.053</c:v>
                </c:pt>
                <c:pt idx="14">
                  <c:v>-0.025</c:v>
                </c:pt>
                <c:pt idx="15">
                  <c:v>0.034</c:v>
                </c:pt>
                <c:pt idx="16">
                  <c:v>-0.013</c:v>
                </c:pt>
                <c:pt idx="17">
                  <c:v>0.047</c:v>
                </c:pt>
                <c:pt idx="18">
                  <c:v>0.033</c:v>
                </c:pt>
                <c:pt idx="19">
                  <c:v>-0.032</c:v>
                </c:pt>
                <c:pt idx="20">
                  <c:v>0.051</c:v>
                </c:pt>
                <c:pt idx="21">
                  <c:v>-0.002</c:v>
                </c:pt>
                <c:pt idx="22">
                  <c:v>0.012</c:v>
                </c:pt>
                <c:pt idx="23">
                  <c:v>0.005</c:v>
                </c:pt>
                <c:pt idx="24">
                  <c:v>0.036</c:v>
                </c:pt>
                <c:pt idx="25">
                  <c:v>-0.022</c:v>
                </c:pt>
                <c:pt idx="26">
                  <c:v>-0.025</c:v>
                </c:pt>
                <c:pt idx="27">
                  <c:v>0.004</c:v>
                </c:pt>
                <c:pt idx="28">
                  <c:v>0.008</c:v>
                </c:pt>
                <c:pt idx="29">
                  <c:v>-0.009</c:v>
                </c:pt>
              </c:numCache>
            </c:numRef>
          </c:val>
          <c:smooth val="1"/>
        </c:ser>
        <c:ser>
          <c:idx val="1"/>
          <c:order val="1"/>
          <c:tx>
            <c:strRef>
              <c:f>17_Depositos_1929_1934!C4</c:f>
              <c:strCache>
                <c:ptCount val="1"/>
                <c:pt idx="0">
                  <c:v>Bancos nacionales
(excl. BNA)</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17_Depositos_1929_1934!$A$5:$A$34</c:f>
              <c:strCache>
                <c:ptCount val="30"/>
                <c:pt idx="0">
                  <c:v>1929 (total)</c:v>
                </c:pt>
                <c:pt idx="1">
                  <c:v>I trim 1929</c:v>
                </c:pt>
                <c:pt idx="2">
                  <c:v>II trim 1929</c:v>
                </c:pt>
                <c:pt idx="3">
                  <c:v>III trim 1929</c:v>
                </c:pt>
                <c:pt idx="4">
                  <c:v>IV trim 1929</c:v>
                </c:pt>
                <c:pt idx="5">
                  <c:v>1930 (total)</c:v>
                </c:pt>
                <c:pt idx="6">
                  <c:v>I trim 1930</c:v>
                </c:pt>
                <c:pt idx="7">
                  <c:v>II trim 1930</c:v>
                </c:pt>
                <c:pt idx="8">
                  <c:v>III trim 1930</c:v>
                </c:pt>
                <c:pt idx="9">
                  <c:v>IV trim 1930</c:v>
                </c:pt>
                <c:pt idx="10">
                  <c:v>1931 (total)</c:v>
                </c:pt>
                <c:pt idx="11">
                  <c:v>I trim 1931</c:v>
                </c:pt>
                <c:pt idx="12">
                  <c:v>II trim 1931</c:v>
                </c:pt>
                <c:pt idx="13">
                  <c:v>III trim 1931</c:v>
                </c:pt>
                <c:pt idx="14">
                  <c:v>IV trim 1931</c:v>
                </c:pt>
                <c:pt idx="15">
                  <c:v>1932 (total)</c:v>
                </c:pt>
                <c:pt idx="16">
                  <c:v>I trim 1932</c:v>
                </c:pt>
                <c:pt idx="17">
                  <c:v>II trim 1932</c:v>
                </c:pt>
                <c:pt idx="18">
                  <c:v>III trim 1932</c:v>
                </c:pt>
                <c:pt idx="19">
                  <c:v>IV trim 1932</c:v>
                </c:pt>
                <c:pt idx="20">
                  <c:v>1933 (total)</c:v>
                </c:pt>
                <c:pt idx="21">
                  <c:v>I trim 1933</c:v>
                </c:pt>
                <c:pt idx="22">
                  <c:v>II trim 1933</c:v>
                </c:pt>
                <c:pt idx="23">
                  <c:v>III trim 1933</c:v>
                </c:pt>
                <c:pt idx="24">
                  <c:v>IV trim 1933</c:v>
                </c:pt>
                <c:pt idx="25">
                  <c:v>1934 (total)</c:v>
                </c:pt>
                <c:pt idx="26">
                  <c:v>I trim 1934</c:v>
                </c:pt>
                <c:pt idx="27">
                  <c:v>II trim 1934</c:v>
                </c:pt>
                <c:pt idx="28">
                  <c:v>III trim 1934</c:v>
                </c:pt>
                <c:pt idx="29">
                  <c:v>IV trim 1934</c:v>
                </c:pt>
              </c:strCache>
            </c:strRef>
          </c:cat>
          <c:val>
            <c:numRef>
              <c:f>17_Depositos_1929_1934!$C$5:$C$34</c:f>
              <c:numCache>
                <c:formatCode>0.0%</c:formatCode>
                <c:ptCount val="30"/>
                <c:pt idx="0">
                  <c:v>-0.014</c:v>
                </c:pt>
                <c:pt idx="1">
                  <c:v>-0.047</c:v>
                </c:pt>
                <c:pt idx="2">
                  <c:v>0.062</c:v>
                </c:pt>
                <c:pt idx="3">
                  <c:v>-0.005</c:v>
                </c:pt>
                <c:pt idx="4">
                  <c:v>-0.021</c:v>
                </c:pt>
                <c:pt idx="5">
                  <c:v>-0.009</c:v>
                </c:pt>
                <c:pt idx="6">
                  <c:v>-0.011</c:v>
                </c:pt>
                <c:pt idx="7">
                  <c:v>-0.008</c:v>
                </c:pt>
                <c:pt idx="8">
                  <c:v>0.001</c:v>
                </c:pt>
                <c:pt idx="9">
                  <c:v>0.009</c:v>
                </c:pt>
                <c:pt idx="10">
                  <c:v>-0.1</c:v>
                </c:pt>
                <c:pt idx="11">
                  <c:v>-0.01</c:v>
                </c:pt>
                <c:pt idx="12">
                  <c:v>-0.035</c:v>
                </c:pt>
                <c:pt idx="13">
                  <c:v>-0.028</c:v>
                </c:pt>
                <c:pt idx="14">
                  <c:v>-0.031</c:v>
                </c:pt>
                <c:pt idx="15">
                  <c:v>-0.052</c:v>
                </c:pt>
                <c:pt idx="16">
                  <c:v>-0.013</c:v>
                </c:pt>
                <c:pt idx="17">
                  <c:v>-0.028</c:v>
                </c:pt>
                <c:pt idx="18">
                  <c:v>-0.01</c:v>
                </c:pt>
                <c:pt idx="19">
                  <c:v>-0.001</c:v>
                </c:pt>
                <c:pt idx="20">
                  <c:v>-0.017</c:v>
                </c:pt>
                <c:pt idx="21">
                  <c:v>-0.003</c:v>
                </c:pt>
                <c:pt idx="22">
                  <c:v>-0.01</c:v>
                </c:pt>
                <c:pt idx="23">
                  <c:v>0.004</c:v>
                </c:pt>
                <c:pt idx="24">
                  <c:v>-0.008</c:v>
                </c:pt>
                <c:pt idx="25">
                  <c:v>0.022</c:v>
                </c:pt>
                <c:pt idx="26">
                  <c:v>0.038</c:v>
                </c:pt>
                <c:pt idx="27">
                  <c:v>-0.003</c:v>
                </c:pt>
                <c:pt idx="28">
                  <c:v>0</c:v>
                </c:pt>
                <c:pt idx="29">
                  <c:v>-0.013</c:v>
                </c:pt>
              </c:numCache>
            </c:numRef>
          </c:val>
          <c:smooth val="1"/>
        </c:ser>
        <c:ser>
          <c:idx val="2"/>
          <c:order val="2"/>
          <c:tx>
            <c:strRef>
              <c:f>17_Depositos_1929_1934!D4</c:f>
              <c:strCache>
                <c:ptCount val="1"/>
                <c:pt idx="0">
                  <c:v>Bancos extranjeros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17_Depositos_1929_1934!$A$5:$A$34</c:f>
              <c:strCache>
                <c:ptCount val="30"/>
                <c:pt idx="0">
                  <c:v>1929 (total)</c:v>
                </c:pt>
                <c:pt idx="1">
                  <c:v>I trim 1929</c:v>
                </c:pt>
                <c:pt idx="2">
                  <c:v>II trim 1929</c:v>
                </c:pt>
                <c:pt idx="3">
                  <c:v>III trim 1929</c:v>
                </c:pt>
                <c:pt idx="4">
                  <c:v>IV trim 1929</c:v>
                </c:pt>
                <c:pt idx="5">
                  <c:v>1930 (total)</c:v>
                </c:pt>
                <c:pt idx="6">
                  <c:v>I trim 1930</c:v>
                </c:pt>
                <c:pt idx="7">
                  <c:v>II trim 1930</c:v>
                </c:pt>
                <c:pt idx="8">
                  <c:v>III trim 1930</c:v>
                </c:pt>
                <c:pt idx="9">
                  <c:v>IV trim 1930</c:v>
                </c:pt>
                <c:pt idx="10">
                  <c:v>1931 (total)</c:v>
                </c:pt>
                <c:pt idx="11">
                  <c:v>I trim 1931</c:v>
                </c:pt>
                <c:pt idx="12">
                  <c:v>II trim 1931</c:v>
                </c:pt>
                <c:pt idx="13">
                  <c:v>III trim 1931</c:v>
                </c:pt>
                <c:pt idx="14">
                  <c:v>IV trim 1931</c:v>
                </c:pt>
                <c:pt idx="15">
                  <c:v>1932 (total)</c:v>
                </c:pt>
                <c:pt idx="16">
                  <c:v>I trim 1932</c:v>
                </c:pt>
                <c:pt idx="17">
                  <c:v>II trim 1932</c:v>
                </c:pt>
                <c:pt idx="18">
                  <c:v>III trim 1932</c:v>
                </c:pt>
                <c:pt idx="19">
                  <c:v>IV trim 1932</c:v>
                </c:pt>
                <c:pt idx="20">
                  <c:v>1933 (total)</c:v>
                </c:pt>
                <c:pt idx="21">
                  <c:v>I trim 1933</c:v>
                </c:pt>
                <c:pt idx="22">
                  <c:v>II trim 1933</c:v>
                </c:pt>
                <c:pt idx="23">
                  <c:v>III trim 1933</c:v>
                </c:pt>
                <c:pt idx="24">
                  <c:v>IV trim 1933</c:v>
                </c:pt>
                <c:pt idx="25">
                  <c:v>1934 (total)</c:v>
                </c:pt>
                <c:pt idx="26">
                  <c:v>I trim 1934</c:v>
                </c:pt>
                <c:pt idx="27">
                  <c:v>II trim 1934</c:v>
                </c:pt>
                <c:pt idx="28">
                  <c:v>III trim 1934</c:v>
                </c:pt>
                <c:pt idx="29">
                  <c:v>IV trim 1934</c:v>
                </c:pt>
              </c:strCache>
            </c:strRef>
          </c:cat>
          <c:val>
            <c:numRef>
              <c:f>17_Depositos_1929_1934!$D$5:$D$34</c:f>
              <c:numCache>
                <c:formatCode>0.0%</c:formatCode>
                <c:ptCount val="30"/>
                <c:pt idx="0">
                  <c:v>0.041</c:v>
                </c:pt>
                <c:pt idx="1">
                  <c:v>0.056</c:v>
                </c:pt>
                <c:pt idx="2">
                  <c:v>-0.01</c:v>
                </c:pt>
                <c:pt idx="3">
                  <c:v>0.001</c:v>
                </c:pt>
                <c:pt idx="4">
                  <c:v>-0.005</c:v>
                </c:pt>
                <c:pt idx="5">
                  <c:v>0.128</c:v>
                </c:pt>
                <c:pt idx="6">
                  <c:v>0.048</c:v>
                </c:pt>
                <c:pt idx="7">
                  <c:v>0.018</c:v>
                </c:pt>
                <c:pt idx="8">
                  <c:v>0.031</c:v>
                </c:pt>
                <c:pt idx="9">
                  <c:v>0.025</c:v>
                </c:pt>
                <c:pt idx="10">
                  <c:v>-0.075</c:v>
                </c:pt>
                <c:pt idx="11">
                  <c:v>0.017</c:v>
                </c:pt>
                <c:pt idx="12">
                  <c:v>-0.055</c:v>
                </c:pt>
                <c:pt idx="13">
                  <c:v>-0.012</c:v>
                </c:pt>
                <c:pt idx="14">
                  <c:v>-0.026</c:v>
                </c:pt>
                <c:pt idx="15">
                  <c:v>0.002</c:v>
                </c:pt>
                <c:pt idx="16">
                  <c:v>0.001</c:v>
                </c:pt>
                <c:pt idx="17">
                  <c:v>-0.051</c:v>
                </c:pt>
                <c:pt idx="18">
                  <c:v>0.037</c:v>
                </c:pt>
                <c:pt idx="19">
                  <c:v>0.018</c:v>
                </c:pt>
                <c:pt idx="20">
                  <c:v>-0.085</c:v>
                </c:pt>
                <c:pt idx="21">
                  <c:v>0.019</c:v>
                </c:pt>
                <c:pt idx="22">
                  <c:v>-0.001</c:v>
                </c:pt>
                <c:pt idx="23">
                  <c:v>-0.014</c:v>
                </c:pt>
                <c:pt idx="24">
                  <c:v>-0.088</c:v>
                </c:pt>
                <c:pt idx="25">
                  <c:v>-0.101</c:v>
                </c:pt>
                <c:pt idx="26">
                  <c:v>-0.01</c:v>
                </c:pt>
                <c:pt idx="27">
                  <c:v>-0.02</c:v>
                </c:pt>
                <c:pt idx="28">
                  <c:v>-0.04</c:v>
                </c:pt>
                <c:pt idx="29">
                  <c:v>-0.035</c:v>
                </c:pt>
              </c:numCache>
            </c:numRef>
          </c:val>
          <c:smooth val="1"/>
        </c:ser>
        <c:ser>
          <c:idx val="3"/>
          <c:order val="3"/>
          <c:tx>
            <c:strRef>
              <c:f>17_Depositos_1929_1934!E4</c:f>
              <c:strCache>
                <c:ptCount val="1"/>
                <c:pt idx="0">
                  <c:v>Total de bancos</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17_Depositos_1929_1934!$A$5:$A$34</c:f>
              <c:strCache>
                <c:ptCount val="30"/>
                <c:pt idx="0">
                  <c:v>1929 (total)</c:v>
                </c:pt>
                <c:pt idx="1">
                  <c:v>I trim 1929</c:v>
                </c:pt>
                <c:pt idx="2">
                  <c:v>II trim 1929</c:v>
                </c:pt>
                <c:pt idx="3">
                  <c:v>III trim 1929</c:v>
                </c:pt>
                <c:pt idx="4">
                  <c:v>IV trim 1929</c:v>
                </c:pt>
                <c:pt idx="5">
                  <c:v>1930 (total)</c:v>
                </c:pt>
                <c:pt idx="6">
                  <c:v>I trim 1930</c:v>
                </c:pt>
                <c:pt idx="7">
                  <c:v>II trim 1930</c:v>
                </c:pt>
                <c:pt idx="8">
                  <c:v>III trim 1930</c:v>
                </c:pt>
                <c:pt idx="9">
                  <c:v>IV trim 1930</c:v>
                </c:pt>
                <c:pt idx="10">
                  <c:v>1931 (total)</c:v>
                </c:pt>
                <c:pt idx="11">
                  <c:v>I trim 1931</c:v>
                </c:pt>
                <c:pt idx="12">
                  <c:v>II trim 1931</c:v>
                </c:pt>
                <c:pt idx="13">
                  <c:v>III trim 1931</c:v>
                </c:pt>
                <c:pt idx="14">
                  <c:v>IV trim 1931</c:v>
                </c:pt>
                <c:pt idx="15">
                  <c:v>1932 (total)</c:v>
                </c:pt>
                <c:pt idx="16">
                  <c:v>I trim 1932</c:v>
                </c:pt>
                <c:pt idx="17">
                  <c:v>II trim 1932</c:v>
                </c:pt>
                <c:pt idx="18">
                  <c:v>III trim 1932</c:v>
                </c:pt>
                <c:pt idx="19">
                  <c:v>IV trim 1932</c:v>
                </c:pt>
                <c:pt idx="20">
                  <c:v>1933 (total)</c:v>
                </c:pt>
                <c:pt idx="21">
                  <c:v>I trim 1933</c:v>
                </c:pt>
                <c:pt idx="22">
                  <c:v>II trim 1933</c:v>
                </c:pt>
                <c:pt idx="23">
                  <c:v>III trim 1933</c:v>
                </c:pt>
                <c:pt idx="24">
                  <c:v>IV trim 1933</c:v>
                </c:pt>
                <c:pt idx="25">
                  <c:v>1934 (total)</c:v>
                </c:pt>
                <c:pt idx="26">
                  <c:v>I trim 1934</c:v>
                </c:pt>
                <c:pt idx="27">
                  <c:v>II trim 1934</c:v>
                </c:pt>
                <c:pt idx="28">
                  <c:v>III trim 1934</c:v>
                </c:pt>
                <c:pt idx="29">
                  <c:v>IV trim 1934</c:v>
                </c:pt>
              </c:strCache>
            </c:strRef>
          </c:cat>
          <c:val>
            <c:numRef>
              <c:f>17_Depositos_1929_1934!$E$5:$E$34</c:f>
              <c:numCache>
                <c:formatCode>0.0%</c:formatCode>
                <c:ptCount val="30"/>
                <c:pt idx="0">
                  <c:v>-0.019</c:v>
                </c:pt>
                <c:pt idx="1">
                  <c:v>-0.006</c:v>
                </c:pt>
                <c:pt idx="2">
                  <c:v>0.018</c:v>
                </c:pt>
                <c:pt idx="3">
                  <c:v>-0.011</c:v>
                </c:pt>
                <c:pt idx="4">
                  <c:v>-0.02</c:v>
                </c:pt>
                <c:pt idx="5">
                  <c:v>0.015</c:v>
                </c:pt>
                <c:pt idx="6">
                  <c:v>0.007</c:v>
                </c:pt>
                <c:pt idx="7">
                  <c:v>-0.007</c:v>
                </c:pt>
                <c:pt idx="8">
                  <c:v>0.009</c:v>
                </c:pt>
                <c:pt idx="9">
                  <c:v>0.007</c:v>
                </c:pt>
                <c:pt idx="10">
                  <c:v>-0.095</c:v>
                </c:pt>
                <c:pt idx="11">
                  <c:v>-0.011</c:v>
                </c:pt>
                <c:pt idx="12">
                  <c:v>-0.025</c:v>
                </c:pt>
                <c:pt idx="13">
                  <c:v>-0.035</c:v>
                </c:pt>
                <c:pt idx="14">
                  <c:v>-0.027</c:v>
                </c:pt>
                <c:pt idx="15">
                  <c:v>-0.004</c:v>
                </c:pt>
                <c:pt idx="16">
                  <c:v>-0.01</c:v>
                </c:pt>
                <c:pt idx="17">
                  <c:v>-0.003</c:v>
                </c:pt>
                <c:pt idx="18">
                  <c:v>0.019</c:v>
                </c:pt>
                <c:pt idx="19">
                  <c:v>-0.01</c:v>
                </c:pt>
                <c:pt idx="20">
                  <c:v>-0.004</c:v>
                </c:pt>
                <c:pt idx="21">
                  <c:v>0.002</c:v>
                </c:pt>
                <c:pt idx="22">
                  <c:v>0.001</c:v>
                </c:pt>
                <c:pt idx="23">
                  <c:v>0</c:v>
                </c:pt>
                <c:pt idx="24">
                  <c:v>-0.008</c:v>
                </c:pt>
                <c:pt idx="25">
                  <c:v>-0.024</c:v>
                </c:pt>
                <c:pt idx="26">
                  <c:v>0</c:v>
                </c:pt>
                <c:pt idx="27">
                  <c:v>-0.003</c:v>
                </c:pt>
                <c:pt idx="28">
                  <c:v>-0.005</c:v>
                </c:pt>
                <c:pt idx="29">
                  <c:v>-0.016</c:v>
                </c:pt>
              </c:numCache>
            </c:numRef>
          </c:val>
          <c:smooth val="1"/>
        </c:ser>
        <c:hiLowLines>
          <c:spPr>
            <a:ln w="0">
              <a:noFill/>
            </a:ln>
          </c:spPr>
        </c:hiLowLines>
        <c:marker val="0"/>
        <c:axId val="42513319"/>
        <c:axId val="65175219"/>
      </c:lineChart>
      <c:catAx>
        <c:axId val="4251331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5175219"/>
        <c:crosses val="autoZero"/>
        <c:auto val="1"/>
        <c:lblAlgn val="ctr"/>
        <c:lblOffset val="100"/>
        <c:noMultiLvlLbl val="0"/>
      </c:catAx>
      <c:valAx>
        <c:axId val="6517521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Tasa de crecimiento</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51331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Quién financió los redescuentos, 1929-1934</a:t>
            </a:r>
          </a:p>
        </c:rich>
      </c:tx>
      <c:overlay val="0"/>
      <c:spPr>
        <a:noFill/>
        <a:ln w="0">
          <a:noFill/>
        </a:ln>
      </c:spPr>
    </c:title>
    <c:autoTitleDeleted val="0"/>
    <c:plotArea>
      <c:barChart>
        <c:barDir val="col"/>
        <c:grouping val="percentStacked"/>
        <c:varyColors val="0"/>
        <c:ser>
          <c:idx val="0"/>
          <c:order val="0"/>
          <c:tx>
            <c:strRef>
              <c:f>18_Origen_redescuentos!B4</c:f>
              <c:strCache>
                <c:ptCount val="1"/>
                <c:pt idx="0">
                  <c:v>Fondos propios del BNA</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18_Origen_redescuentos!$A$5:$A$10</c:f>
              <c:strCache>
                <c:ptCount val="6"/>
                <c:pt idx="0">
                  <c:v>1929</c:v>
                </c:pt>
                <c:pt idx="1">
                  <c:v>1930</c:v>
                </c:pt>
                <c:pt idx="2">
                  <c:v>1931</c:v>
                </c:pt>
                <c:pt idx="3">
                  <c:v>1932</c:v>
                </c:pt>
                <c:pt idx="4">
                  <c:v>1933</c:v>
                </c:pt>
                <c:pt idx="5">
                  <c:v>1934</c:v>
                </c:pt>
              </c:strCache>
            </c:strRef>
          </c:cat>
          <c:val>
            <c:numRef>
              <c:f>18_Origen_redescuentos!$B$5:$B$10</c:f>
              <c:numCache>
                <c:formatCode>0.0%</c:formatCode>
                <c:ptCount val="6"/>
                <c:pt idx="0">
                  <c:v>1</c:v>
                </c:pt>
                <c:pt idx="1">
                  <c:v>1</c:v>
                </c:pt>
                <c:pt idx="2">
                  <c:v>0</c:v>
                </c:pt>
                <c:pt idx="3">
                  <c:v>0.065</c:v>
                </c:pt>
                <c:pt idx="4">
                  <c:v>0.294</c:v>
                </c:pt>
                <c:pt idx="5">
                  <c:v>0.417</c:v>
                </c:pt>
              </c:numCache>
            </c:numRef>
          </c:val>
        </c:ser>
        <c:ser>
          <c:idx val="1"/>
          <c:order val="1"/>
          <c:tx>
            <c:strRef>
              <c:f>18_Origen_redescuentos!C4</c:f>
              <c:strCache>
                <c:ptCount val="1"/>
                <c:pt idx="0">
                  <c:v>Emisión de la Caja de Conversión</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18_Origen_redescuentos!$A$5:$A$10</c:f>
              <c:strCache>
                <c:ptCount val="6"/>
                <c:pt idx="0">
                  <c:v>1929</c:v>
                </c:pt>
                <c:pt idx="1">
                  <c:v>1930</c:v>
                </c:pt>
                <c:pt idx="2">
                  <c:v>1931</c:v>
                </c:pt>
                <c:pt idx="3">
                  <c:v>1932</c:v>
                </c:pt>
                <c:pt idx="4">
                  <c:v>1933</c:v>
                </c:pt>
                <c:pt idx="5">
                  <c:v>1934</c:v>
                </c:pt>
              </c:strCache>
            </c:strRef>
          </c:cat>
          <c:val>
            <c:numRef>
              <c:f>18_Origen_redescuentos!$C$5:$C$10</c:f>
              <c:numCache>
                <c:formatCode>0.0%</c:formatCode>
                <c:ptCount val="6"/>
                <c:pt idx="0">
                  <c:v>0</c:v>
                </c:pt>
                <c:pt idx="1">
                  <c:v>0</c:v>
                </c:pt>
                <c:pt idx="2">
                  <c:v>1</c:v>
                </c:pt>
                <c:pt idx="3">
                  <c:v>0.935</c:v>
                </c:pt>
                <c:pt idx="4">
                  <c:v>0.706</c:v>
                </c:pt>
                <c:pt idx="5">
                  <c:v>0.583</c:v>
                </c:pt>
              </c:numCache>
            </c:numRef>
          </c:val>
        </c:ser>
        <c:gapWidth val="150"/>
        <c:overlap val="100"/>
        <c:axId val="87296812"/>
        <c:axId val="33050377"/>
      </c:barChart>
      <c:catAx>
        <c:axId val="8729681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050377"/>
        <c:crosses val="autoZero"/>
        <c:auto val="1"/>
        <c:lblAlgn val="ctr"/>
        <c:lblOffset val="100"/>
        <c:noMultiLvlLbl val="0"/>
      </c:catAx>
      <c:valAx>
        <c:axId val="33050377"/>
        <c:scaling>
          <c:orientation val="minMax"/>
        </c:scaling>
        <c:delete val="0"/>
        <c:axPos val="l"/>
        <c:majorGridlines>
          <c:spPr>
            <a:ln w="9360">
              <a:solidFill>
                <a:srgbClr val="878787"/>
              </a:solidFill>
              <a:round/>
            </a:ln>
          </c:spPr>
        </c:majorGridlines>
        <c:numFmt formatCode="[$-409]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2968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Ratio reservas/depósitos: observado vs. contrafactuales</a:t>
            </a:r>
          </a:p>
        </c:rich>
      </c:tx>
      <c:overlay val="0"/>
      <c:spPr>
        <a:noFill/>
        <a:ln w="0">
          <a:noFill/>
        </a:ln>
      </c:spPr>
    </c:title>
    <c:autoTitleDeleted val="0"/>
    <c:plotArea>
      <c:barChart>
        <c:barDir val="col"/>
        <c:grouping val="clustered"/>
        <c:varyColors val="0"/>
        <c:ser>
          <c:idx val="0"/>
          <c:order val="0"/>
          <c:tx>
            <c:strRef>
              <c:f>19_Liquidez_por_periodo!B4</c:f>
              <c:strCache>
                <c:ptCount val="1"/>
                <c:pt idx="0">
                  <c:v>BNA observado</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19_Liquidez_por_periodo!$A$5:$A$8</c:f>
              <c:strCache>
                <c:ptCount val="4"/>
                <c:pt idx="0">
                  <c:v>El Progreso, 1908-1913</c:v>
                </c:pt>
                <c:pt idx="1">
                  <c:v>Gran Guerra, 1914-1918</c:v>
                </c:pt>
                <c:pt idx="2">
                  <c:v>Años veinte, 1919-1928</c:v>
                </c:pt>
                <c:pt idx="3">
                  <c:v>Gran Depresión, 1929-1934</c:v>
                </c:pt>
              </c:strCache>
            </c:strRef>
          </c:cat>
          <c:val>
            <c:numRef>
              <c:f>19_Liquidez_por_periodo!$B$5:$B$8</c:f>
              <c:numCache>
                <c:formatCode>0%</c:formatCode>
                <c:ptCount val="4"/>
                <c:pt idx="0">
                  <c:v>0.48</c:v>
                </c:pt>
                <c:pt idx="1">
                  <c:v>0.46</c:v>
                </c:pt>
                <c:pt idx="2">
                  <c:v>0.27</c:v>
                </c:pt>
                <c:pt idx="3">
                  <c:v>0.15</c:v>
                </c:pt>
              </c:numCache>
            </c:numRef>
          </c:val>
        </c:ser>
        <c:ser>
          <c:idx val="1"/>
          <c:order val="1"/>
          <c:tx>
            <c:strRef>
              <c:f>19_Liquidez_por_periodo!C4</c:f>
              <c:strCache>
                <c:ptCount val="1"/>
                <c:pt idx="0">
                  <c:v>BNA sin redescuentos
a otros bancos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19_Liquidez_por_periodo!$A$5:$A$8</c:f>
              <c:strCache>
                <c:ptCount val="4"/>
                <c:pt idx="0">
                  <c:v>El Progreso, 1908-1913</c:v>
                </c:pt>
                <c:pt idx="1">
                  <c:v>Gran Guerra, 1914-1918</c:v>
                </c:pt>
                <c:pt idx="2">
                  <c:v>Años veinte, 1919-1928</c:v>
                </c:pt>
                <c:pt idx="3">
                  <c:v>Gran Depresión, 1929-1934</c:v>
                </c:pt>
              </c:strCache>
            </c:strRef>
          </c:cat>
          <c:val>
            <c:numRef>
              <c:f>19_Liquidez_por_periodo!$C$5:$C$8</c:f>
              <c:numCache>
                <c:formatCode>0%</c:formatCode>
                <c:ptCount val="4"/>
                <c:pt idx="1">
                  <c:v>0.47</c:v>
                </c:pt>
                <c:pt idx="2">
                  <c:v>0.33</c:v>
                </c:pt>
                <c:pt idx="3">
                  <c:v>0.21</c:v>
                </c:pt>
              </c:numCache>
            </c:numRef>
          </c:val>
        </c:ser>
        <c:ser>
          <c:idx val="2"/>
          <c:order val="2"/>
          <c:tx>
            <c:strRef>
              <c:f>19_Liquidez_por_periodo!D4</c:f>
              <c:strCache>
                <c:ptCount val="1"/>
                <c:pt idx="0">
                  <c:v>BNA sin financiamiento
al Estado</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19_Liquidez_por_periodo!$A$5:$A$8</c:f>
              <c:strCache>
                <c:ptCount val="4"/>
                <c:pt idx="0">
                  <c:v>El Progreso, 1908-1913</c:v>
                </c:pt>
                <c:pt idx="1">
                  <c:v>Gran Guerra, 1914-1918</c:v>
                </c:pt>
                <c:pt idx="2">
                  <c:v>Años veinte, 1919-1928</c:v>
                </c:pt>
                <c:pt idx="3">
                  <c:v>Gran Depresión, 1929-1934</c:v>
                </c:pt>
              </c:strCache>
            </c:strRef>
          </c:cat>
          <c:val>
            <c:numRef>
              <c:f>19_Liquidez_por_periodo!$D$5:$D$8</c:f>
              <c:numCache>
                <c:formatCode>0%</c:formatCode>
                <c:ptCount val="4"/>
                <c:pt idx="1">
                  <c:v>0.69</c:v>
                </c:pt>
                <c:pt idx="2">
                  <c:v>0.59</c:v>
                </c:pt>
                <c:pt idx="3">
                  <c:v>0.57</c:v>
                </c:pt>
              </c:numCache>
            </c:numRef>
          </c:val>
        </c:ser>
        <c:ser>
          <c:idx val="3"/>
          <c:order val="3"/>
          <c:tx>
            <c:strRef>
              <c:f>19_Liquidez_por_periodo!E4</c:f>
              <c:strCache>
                <c:ptCount val="1"/>
                <c:pt idx="0">
                  <c:v>Resto de bancos
observado</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19_Liquidez_por_periodo!$A$5:$A$8</c:f>
              <c:strCache>
                <c:ptCount val="4"/>
                <c:pt idx="0">
                  <c:v>El Progreso, 1908-1913</c:v>
                </c:pt>
                <c:pt idx="1">
                  <c:v>Gran Guerra, 1914-1918</c:v>
                </c:pt>
                <c:pt idx="2">
                  <c:v>Años veinte, 1919-1928</c:v>
                </c:pt>
                <c:pt idx="3">
                  <c:v>Gran Depresión, 1929-1934</c:v>
                </c:pt>
              </c:strCache>
            </c:strRef>
          </c:cat>
          <c:val>
            <c:numRef>
              <c:f>19_Liquidez_por_periodo!$E$5:$E$8</c:f>
              <c:numCache>
                <c:formatCode>0%</c:formatCode>
                <c:ptCount val="4"/>
                <c:pt idx="0">
                  <c:v>0.33</c:v>
                </c:pt>
                <c:pt idx="1">
                  <c:v>0.36</c:v>
                </c:pt>
                <c:pt idx="2">
                  <c:v>0.29</c:v>
                </c:pt>
                <c:pt idx="3">
                  <c:v>0.23</c:v>
                </c:pt>
              </c:numCache>
            </c:numRef>
          </c:val>
        </c:ser>
        <c:ser>
          <c:idx val="4"/>
          <c:order val="4"/>
          <c:tx>
            <c:strRef>
              <c:f>19_Liquidez_por_periodo!F4</c:f>
              <c:strCache>
                <c:ptCount val="1"/>
                <c:pt idx="0">
                  <c:v>Resto de bancos
sin redescuentos</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19_Liquidez_por_periodo!$A$5:$A$8</c:f>
              <c:strCache>
                <c:ptCount val="4"/>
                <c:pt idx="0">
                  <c:v>El Progreso, 1908-1913</c:v>
                </c:pt>
                <c:pt idx="1">
                  <c:v>Gran Guerra, 1914-1918</c:v>
                </c:pt>
                <c:pt idx="2">
                  <c:v>Años veinte, 1919-1928</c:v>
                </c:pt>
                <c:pt idx="3">
                  <c:v>Gran Depresión, 1929-1934</c:v>
                </c:pt>
              </c:strCache>
            </c:strRef>
          </c:cat>
          <c:val>
            <c:numRef>
              <c:f>19_Liquidez_por_periodo!$F$5:$F$8</c:f>
              <c:numCache>
                <c:formatCode>0%</c:formatCode>
                <c:ptCount val="4"/>
                <c:pt idx="1">
                  <c:v>0.34</c:v>
                </c:pt>
                <c:pt idx="2">
                  <c:v>0.26</c:v>
                </c:pt>
                <c:pt idx="3">
                  <c:v>0.11</c:v>
                </c:pt>
              </c:numCache>
            </c:numRef>
          </c:val>
        </c:ser>
        <c:gapWidth val="150"/>
        <c:overlap val="0"/>
        <c:axId val="37406311"/>
        <c:axId val="20707858"/>
      </c:barChart>
      <c:catAx>
        <c:axId val="3740631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707858"/>
        <c:crosses val="autoZero"/>
        <c:auto val="1"/>
        <c:lblAlgn val="ctr"/>
        <c:lblOffset val="100"/>
        <c:noMultiLvlLbl val="0"/>
      </c:catAx>
      <c:valAx>
        <c:axId val="2070785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Reservas / depósitos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740631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Crecimiento real de depósitos por período</a:t>
            </a:r>
          </a:p>
        </c:rich>
      </c:tx>
      <c:overlay val="0"/>
      <c:spPr>
        <a:noFill/>
        <a:ln w="0">
          <a:noFill/>
        </a:ln>
      </c:spPr>
    </c:title>
    <c:autoTitleDeleted val="0"/>
    <c:plotArea>
      <c:barChart>
        <c:barDir val="col"/>
        <c:grouping val="clustered"/>
        <c:varyColors val="0"/>
        <c:ser>
          <c:idx val="0"/>
          <c:order val="0"/>
          <c:tx>
            <c:strRef>
              <c:f>20_Depositos_crecimiento!B4</c:f>
              <c:strCache>
                <c:ptCount val="1"/>
                <c:pt idx="0">
                  <c:v>BNA: crecimiento
promedio anual</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20_Depositos_crecimiento!$A$5:$A$9</c:f>
              <c:strCache>
                <c:ptCount val="5"/>
                <c:pt idx="0">
                  <c:v>El Progreso, 1908-1913</c:v>
                </c:pt>
                <c:pt idx="1">
                  <c:v>Gran Guerra, 1914-1918</c:v>
                </c:pt>
                <c:pt idx="2">
                  <c:v>Años veinte, 1919-1928</c:v>
                </c:pt>
                <c:pt idx="3">
                  <c:v>Gran Depresión, fase descendente</c:v>
                </c:pt>
                <c:pt idx="4">
                  <c:v>Gran Depresión, fase ascendente</c:v>
                </c:pt>
              </c:strCache>
            </c:strRef>
          </c:cat>
          <c:val>
            <c:numRef>
              <c:f>20_Depositos_crecimiento!$B$5:$B$9</c:f>
              <c:numCache>
                <c:formatCode>0.0%</c:formatCode>
                <c:ptCount val="5"/>
                <c:pt idx="0">
                  <c:v>0.144</c:v>
                </c:pt>
                <c:pt idx="1">
                  <c:v>0.192</c:v>
                </c:pt>
                <c:pt idx="2">
                  <c:v>0.069</c:v>
                </c:pt>
                <c:pt idx="3">
                  <c:v>-0.11</c:v>
                </c:pt>
                <c:pt idx="4">
                  <c:v>0.07</c:v>
                </c:pt>
              </c:numCache>
            </c:numRef>
          </c:val>
        </c:ser>
        <c:ser>
          <c:idx val="1"/>
          <c:order val="1"/>
          <c:tx>
            <c:strRef>
              <c:f>20_Depositos_crecimiento!C4</c:f>
              <c:strCache>
                <c:ptCount val="1"/>
                <c:pt idx="0">
                  <c:v>BNA: variabilidad</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20_Depositos_crecimiento!$A$5:$A$9</c:f>
              <c:strCache>
                <c:ptCount val="5"/>
                <c:pt idx="0">
                  <c:v>El Progreso, 1908-1913</c:v>
                </c:pt>
                <c:pt idx="1">
                  <c:v>Gran Guerra, 1914-1918</c:v>
                </c:pt>
                <c:pt idx="2">
                  <c:v>Años veinte, 1919-1928</c:v>
                </c:pt>
                <c:pt idx="3">
                  <c:v>Gran Depresión, fase descendente</c:v>
                </c:pt>
                <c:pt idx="4">
                  <c:v>Gran Depresión, fase ascendente</c:v>
                </c:pt>
              </c:strCache>
            </c:strRef>
          </c:cat>
          <c:val>
            <c:numRef>
              <c:f>20_Depositos_crecimiento!$C$5:$C$9</c:f>
              <c:numCache>
                <c:formatCode>0.0%</c:formatCode>
                <c:ptCount val="5"/>
                <c:pt idx="0">
                  <c:v>0.0803</c:v>
                </c:pt>
                <c:pt idx="1">
                  <c:v>0.214</c:v>
                </c:pt>
                <c:pt idx="3">
                  <c:v>0.27</c:v>
                </c:pt>
                <c:pt idx="4">
                  <c:v>0.32</c:v>
                </c:pt>
              </c:numCache>
            </c:numRef>
          </c:val>
        </c:ser>
        <c:ser>
          <c:idx val="2"/>
          <c:order val="2"/>
          <c:tx>
            <c:strRef>
              <c:f>20_Depositos_crecimiento!D4</c:f>
              <c:strCache>
                <c:ptCount val="1"/>
                <c:pt idx="0">
                  <c:v>Resto de bancos:
crecimiento prom. anual</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20_Depositos_crecimiento!$A$5:$A$9</c:f>
              <c:strCache>
                <c:ptCount val="5"/>
                <c:pt idx="0">
                  <c:v>El Progreso, 1908-1913</c:v>
                </c:pt>
                <c:pt idx="1">
                  <c:v>Gran Guerra, 1914-1918</c:v>
                </c:pt>
                <c:pt idx="2">
                  <c:v>Años veinte, 1919-1928</c:v>
                </c:pt>
                <c:pt idx="3">
                  <c:v>Gran Depresión, fase descendente</c:v>
                </c:pt>
                <c:pt idx="4">
                  <c:v>Gran Depresión, fase ascendente</c:v>
                </c:pt>
              </c:strCache>
            </c:strRef>
          </c:cat>
          <c:val>
            <c:numRef>
              <c:f>20_Depositos_crecimiento!$D$5:$D$9</c:f>
              <c:numCache>
                <c:formatCode>0.0%</c:formatCode>
                <c:ptCount val="5"/>
                <c:pt idx="0">
                  <c:v>0.056</c:v>
                </c:pt>
                <c:pt idx="1">
                  <c:v>0.143</c:v>
                </c:pt>
                <c:pt idx="2">
                  <c:v>0.06</c:v>
                </c:pt>
                <c:pt idx="3">
                  <c:v>-0.07</c:v>
                </c:pt>
                <c:pt idx="4">
                  <c:v>0.07</c:v>
                </c:pt>
              </c:numCache>
            </c:numRef>
          </c:val>
        </c:ser>
        <c:ser>
          <c:idx val="3"/>
          <c:order val="3"/>
          <c:tx>
            <c:strRef>
              <c:f>20_Depositos_crecimiento!E4</c:f>
              <c:strCache>
                <c:ptCount val="1"/>
                <c:pt idx="0">
                  <c:v>Resto de bancos:
variabilidad</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20_Depositos_crecimiento!$A$5:$A$9</c:f>
              <c:strCache>
                <c:ptCount val="5"/>
                <c:pt idx="0">
                  <c:v>El Progreso, 1908-1913</c:v>
                </c:pt>
                <c:pt idx="1">
                  <c:v>Gran Guerra, 1914-1918</c:v>
                </c:pt>
                <c:pt idx="2">
                  <c:v>Años veinte, 1919-1928</c:v>
                </c:pt>
                <c:pt idx="3">
                  <c:v>Gran Depresión, fase descendente</c:v>
                </c:pt>
                <c:pt idx="4">
                  <c:v>Gran Depresión, fase ascendente</c:v>
                </c:pt>
              </c:strCache>
            </c:strRef>
          </c:cat>
          <c:val>
            <c:numRef>
              <c:f>20_Depositos_crecimiento!$E$5:$E$9</c:f>
              <c:numCache>
                <c:formatCode>0.0%</c:formatCode>
                <c:ptCount val="5"/>
                <c:pt idx="0">
                  <c:v>0.169</c:v>
                </c:pt>
                <c:pt idx="1">
                  <c:v>0.362</c:v>
                </c:pt>
                <c:pt idx="3">
                  <c:v>0.3</c:v>
                </c:pt>
                <c:pt idx="4">
                  <c:v>0.28</c:v>
                </c:pt>
              </c:numCache>
            </c:numRef>
          </c:val>
        </c:ser>
        <c:gapWidth val="150"/>
        <c:overlap val="0"/>
        <c:axId val="34520469"/>
        <c:axId val="26080298"/>
      </c:barChart>
      <c:catAx>
        <c:axId val="3452046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080298"/>
        <c:crosses val="autoZero"/>
        <c:auto val="1"/>
        <c:lblAlgn val="ctr"/>
        <c:lblOffset val="100"/>
        <c:noMultiLvlLbl val="0"/>
      </c:catAx>
      <c:valAx>
        <c:axId val="26080298"/>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52046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_rels/drawing5.xml.rels><?xml version="1.0" encoding="UTF-8"?>
<Relationships xmlns="http://schemas.openxmlformats.org/package/2006/relationships"><Relationship Id="rId1" Type="http://schemas.openxmlformats.org/officeDocument/2006/relationships/chart" Target="../charts/chart5.xml"/>
</Relationships>
</file>

<file path=xl/drawings/_rels/drawing6.xml.rels><?xml version="1.0" encoding="UTF-8"?>
<Relationships xmlns="http://schemas.openxmlformats.org/package/2006/relationships"><Relationship Id="rId1" Type="http://schemas.openxmlformats.org/officeDocument/2006/relationships/chart" Target="../charts/chart6.xml"/>
</Relationships>
</file>

<file path=xl/drawings/_rels/drawing7.xml.rels><?xml version="1.0" encoding="UTF-8"?>
<Relationships xmlns="http://schemas.openxmlformats.org/package/2006/relationships"><Relationship Id="rId1" Type="http://schemas.openxmlformats.org/officeDocument/2006/relationships/chart" Target="../charts/chart7.xml"/>
</Relationships>
</file>

<file path=xl/drawings/_rels/drawing8.xml.rels><?xml version="1.0" encoding="UTF-8"?>
<Relationships xmlns="http://schemas.openxmlformats.org/package/2006/relationships"><Relationship Id="rId1" Type="http://schemas.openxmlformats.org/officeDocument/2006/relationships/chart" Target="../charts/chart8.xml"/>
</Relationships>
</file>

<file path=xl/drawings/_rels/drawing9.xml.rels><?xml version="1.0" encoding="UTF-8"?>
<Relationships xmlns="http://schemas.openxmlformats.org/package/2006/relationships"><Relationship Id="rId1" Type="http://schemas.openxmlformats.org/officeDocument/2006/relationships/chart" Target="../charts/chart9.xml"/>
</Relationships>
</file>

<file path=xl/drawings/_rels/drawing10.xml.rels><?xml version="1.0" encoding="UTF-8"?>
<Relationships xmlns="http://schemas.openxmlformats.org/package/2006/relationships"><Relationship Id="rId1" Type="http://schemas.openxmlformats.org/officeDocument/2006/relationships/chart" Target="../charts/chart10.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176040</xdr:rowOff>
    </xdr:from>
    <xdr:to>
      <xdr:col>13</xdr:col>
      <xdr:colOff>256320</xdr:colOff>
      <xdr:row>14</xdr:row>
      <xdr:rowOff>457920</xdr:rowOff>
    </xdr:to>
    <xdr:graphicFrame>
      <xdr:nvGraphicFramePr>
        <xdr:cNvPr id="0" name="Chart 1"/>
        <xdr:cNvGraphicFramePr/>
      </xdr:nvGraphicFramePr>
      <xdr:xfrm>
        <a:off x="4276800" y="571680"/>
        <a:ext cx="575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176040</xdr:rowOff>
    </xdr:from>
    <xdr:to>
      <xdr:col>14</xdr:col>
      <xdr:colOff>364680</xdr:colOff>
      <xdr:row>16</xdr:row>
      <xdr:rowOff>126000</xdr:rowOff>
    </xdr:to>
    <xdr:graphicFrame>
      <xdr:nvGraphicFramePr>
        <xdr:cNvPr id="1" name="Chart 1"/>
        <xdr:cNvGraphicFramePr/>
      </xdr:nvGraphicFramePr>
      <xdr:xfrm>
        <a:off x="6391440" y="57168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176040</xdr:rowOff>
    </xdr:from>
    <xdr:to>
      <xdr:col>15</xdr:col>
      <xdr:colOff>473040</xdr:colOff>
      <xdr:row>19</xdr:row>
      <xdr:rowOff>26640</xdr:rowOff>
    </xdr:to>
    <xdr:graphicFrame>
      <xdr:nvGraphicFramePr>
        <xdr:cNvPr id="2" name="Chart 1"/>
        <xdr:cNvGraphicFramePr/>
      </xdr:nvGraphicFramePr>
      <xdr:xfrm>
        <a:off x="4981680" y="7048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176040</xdr:rowOff>
    </xdr:from>
    <xdr:to>
      <xdr:col>17</xdr:col>
      <xdr:colOff>473040</xdr:colOff>
      <xdr:row>18</xdr:row>
      <xdr:rowOff>55800</xdr:rowOff>
    </xdr:to>
    <xdr:graphicFrame>
      <xdr:nvGraphicFramePr>
        <xdr:cNvPr id="3" name="Chart 1"/>
        <xdr:cNvGraphicFramePr/>
      </xdr:nvGraphicFramePr>
      <xdr:xfrm>
        <a:off x="6250320" y="5716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176040</xdr:rowOff>
    </xdr:from>
    <xdr:to>
      <xdr:col>17</xdr:col>
      <xdr:colOff>473040</xdr:colOff>
      <xdr:row>19</xdr:row>
      <xdr:rowOff>26640</xdr:rowOff>
    </xdr:to>
    <xdr:graphicFrame>
      <xdr:nvGraphicFramePr>
        <xdr:cNvPr id="4" name="Chart 1"/>
        <xdr:cNvGraphicFramePr/>
      </xdr:nvGraphicFramePr>
      <xdr:xfrm>
        <a:off x="6250320" y="5716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176040</xdr:rowOff>
    </xdr:from>
    <xdr:to>
      <xdr:col>16</xdr:col>
      <xdr:colOff>364680</xdr:colOff>
      <xdr:row>15</xdr:row>
      <xdr:rowOff>627480</xdr:rowOff>
    </xdr:to>
    <xdr:graphicFrame>
      <xdr:nvGraphicFramePr>
        <xdr:cNvPr id="5" name="Chart 1"/>
        <xdr:cNvGraphicFramePr/>
      </xdr:nvGraphicFramePr>
      <xdr:xfrm>
        <a:off x="6250320" y="5716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2</xdr:row>
      <xdr:rowOff>176040</xdr:rowOff>
    </xdr:from>
    <xdr:to>
      <xdr:col>17</xdr:col>
      <xdr:colOff>473040</xdr:colOff>
      <xdr:row>18</xdr:row>
      <xdr:rowOff>55800</xdr:rowOff>
    </xdr:to>
    <xdr:graphicFrame>
      <xdr:nvGraphicFramePr>
        <xdr:cNvPr id="6" name="Chart 1"/>
        <xdr:cNvGraphicFramePr/>
      </xdr:nvGraphicFramePr>
      <xdr:xfrm>
        <a:off x="6250320" y="571680"/>
        <a:ext cx="719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2</xdr:row>
      <xdr:rowOff>176040</xdr:rowOff>
    </xdr:from>
    <xdr:to>
      <xdr:col>12</xdr:col>
      <xdr:colOff>507600</xdr:colOff>
      <xdr:row>11</xdr:row>
      <xdr:rowOff>1190880</xdr:rowOff>
    </xdr:to>
    <xdr:graphicFrame>
      <xdr:nvGraphicFramePr>
        <xdr:cNvPr id="7" name="Chart 1"/>
        <xdr:cNvGraphicFramePr/>
      </xdr:nvGraphicFramePr>
      <xdr:xfrm>
        <a:off x="4840560" y="57168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9</xdr:row>
      <xdr:rowOff>54360</xdr:rowOff>
    </xdr:from>
    <xdr:to>
      <xdr:col>4</xdr:col>
      <xdr:colOff>558720</xdr:colOff>
      <xdr:row>21</xdr:row>
      <xdr:rowOff>156600</xdr:rowOff>
    </xdr:to>
    <xdr:graphicFrame>
      <xdr:nvGraphicFramePr>
        <xdr:cNvPr id="8" name="Chart 1"/>
        <xdr:cNvGraphicFramePr/>
      </xdr:nvGraphicFramePr>
      <xdr:xfrm>
        <a:off x="0" y="222876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10</xdr:row>
      <xdr:rowOff>54720</xdr:rowOff>
    </xdr:from>
    <xdr:to>
      <xdr:col>4</xdr:col>
      <xdr:colOff>417960</xdr:colOff>
      <xdr:row>21</xdr:row>
      <xdr:rowOff>100800</xdr:rowOff>
    </xdr:to>
    <xdr:graphicFrame>
      <xdr:nvGraphicFramePr>
        <xdr:cNvPr id="9" name="Chart 1"/>
        <xdr:cNvGraphicFramePr/>
      </xdr:nvGraphicFramePr>
      <xdr:xfrm>
        <a:off x="0" y="2286000"/>
        <a:ext cx="64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9.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00"/>
  </cols>
  <sheetData>
    <row r="1" customFormat="false" ht="18.55" hidden="false" customHeight="false" outlineLevel="0" collapsed="false">
      <c r="A1" s="1" t="s">
        <v>0</v>
      </c>
      <c r="B1" s="1"/>
    </row>
    <row r="3" customFormat="false" ht="45" hidden="false" customHeight="true" outlineLevel="0" collapsed="false">
      <c r="A3" s="2" t="s">
        <v>1</v>
      </c>
      <c r="B3" s="3" t="s">
        <v>2</v>
      </c>
    </row>
    <row r="4" customFormat="false" ht="30" hidden="false" customHeight="true" outlineLevel="0" collapsed="false">
      <c r="A4" s="2" t="s">
        <v>3</v>
      </c>
      <c r="B4" s="3" t="s">
        <v>4</v>
      </c>
    </row>
    <row r="5" customFormat="false" ht="30" hidden="false" customHeight="true" outlineLevel="0" collapsed="false">
      <c r="A5" s="2" t="s">
        <v>5</v>
      </c>
      <c r="B5" s="3" t="s">
        <v>6</v>
      </c>
    </row>
    <row r="6" customFormat="false" ht="45" hidden="false" customHeight="true" outlineLevel="0" collapsed="false">
      <c r="A6" s="2" t="s">
        <v>7</v>
      </c>
      <c r="B6" s="3" t="s">
        <v>8</v>
      </c>
    </row>
    <row r="7" customFormat="false" ht="105" hidden="false" customHeight="true" outlineLevel="0" collapsed="false">
      <c r="A7" s="2" t="s">
        <v>9</v>
      </c>
      <c r="B7" s="3" t="s">
        <v>10</v>
      </c>
    </row>
    <row r="8" customFormat="false" ht="45" hidden="false" customHeight="true" outlineLevel="0" collapsed="false">
      <c r="A8" s="2" t="s">
        <v>11</v>
      </c>
      <c r="B8" s="3" t="s">
        <v>12</v>
      </c>
    </row>
    <row r="9" customFormat="false" ht="45" hidden="false" customHeight="true" outlineLevel="0" collapsed="false">
      <c r="A9" s="2" t="s">
        <v>13</v>
      </c>
      <c r="B9" s="3" t="s">
        <v>14</v>
      </c>
    </row>
    <row r="10" customFormat="false" ht="45" hidden="false" customHeight="true" outlineLevel="0" collapsed="false">
      <c r="A10" s="2" t="s">
        <v>15</v>
      </c>
      <c r="B10" s="3" t="s">
        <v>16</v>
      </c>
    </row>
    <row r="11" customFormat="false" ht="30" hidden="false" customHeight="true" outlineLevel="0" collapsed="false">
      <c r="A11" s="2" t="s">
        <v>17</v>
      </c>
      <c r="B11" s="3" t="s">
        <v>18</v>
      </c>
    </row>
    <row r="13" customFormat="false" ht="16.15" hidden="false" customHeight="false" outlineLevel="0" collapsed="false">
      <c r="A13" s="4" t="s">
        <v>19</v>
      </c>
    </row>
    <row r="14" customFormat="false" ht="15" hidden="false" customHeight="false" outlineLevel="0" collapsed="false">
      <c r="A14" s="5" t="s">
        <v>20</v>
      </c>
      <c r="B14" s="6" t="s">
        <v>21</v>
      </c>
    </row>
    <row r="15" customFormat="false" ht="15" hidden="false" customHeight="false" outlineLevel="0" collapsed="false">
      <c r="A15" s="5" t="s">
        <v>22</v>
      </c>
      <c r="B15" s="6" t="s">
        <v>23</v>
      </c>
    </row>
    <row r="16" customFormat="false" ht="15" hidden="false" customHeight="false" outlineLevel="0" collapsed="false">
      <c r="A16" s="5" t="s">
        <v>24</v>
      </c>
      <c r="B16" s="6" t="s">
        <v>25</v>
      </c>
    </row>
    <row r="17" customFormat="false" ht="15" hidden="false" customHeight="false" outlineLevel="0" collapsed="false">
      <c r="A17" s="5" t="s">
        <v>26</v>
      </c>
      <c r="B17" s="6" t="s">
        <v>27</v>
      </c>
    </row>
    <row r="18" customFormat="false" ht="15" hidden="false" customHeight="false" outlineLevel="0" collapsed="false">
      <c r="A18" s="5" t="s">
        <v>28</v>
      </c>
      <c r="B18" s="6" t="s">
        <v>29</v>
      </c>
    </row>
    <row r="19" customFormat="false" ht="15" hidden="false" customHeight="false" outlineLevel="0" collapsed="false">
      <c r="A19" s="5" t="s">
        <v>30</v>
      </c>
      <c r="B19" s="6" t="s">
        <v>31</v>
      </c>
    </row>
    <row r="20" customFormat="false" ht="15" hidden="false" customHeight="false" outlineLevel="0" collapsed="false">
      <c r="A20" s="5" t="s">
        <v>32</v>
      </c>
      <c r="B20" s="6" t="s">
        <v>33</v>
      </c>
    </row>
    <row r="21" customFormat="false" ht="15" hidden="false" customHeight="false" outlineLevel="0" collapsed="false">
      <c r="A21" s="5" t="s">
        <v>34</v>
      </c>
      <c r="B21" s="6" t="s">
        <v>35</v>
      </c>
    </row>
    <row r="22" customFormat="false" ht="15" hidden="false" customHeight="false" outlineLevel="0" collapsed="false">
      <c r="A22" s="5" t="s">
        <v>36</v>
      </c>
      <c r="B22" s="6" t="s">
        <v>37</v>
      </c>
    </row>
    <row r="23" customFormat="false" ht="15" hidden="false" customHeight="false" outlineLevel="0" collapsed="false">
      <c r="A23" s="5" t="s">
        <v>38</v>
      </c>
      <c r="B23" s="6" t="s">
        <v>39</v>
      </c>
    </row>
    <row r="24" customFormat="false" ht="15" hidden="false" customHeight="false" outlineLevel="0" collapsed="false">
      <c r="A24" s="5" t="s">
        <v>40</v>
      </c>
      <c r="B24" s="6" t="s">
        <v>41</v>
      </c>
    </row>
    <row r="25" customFormat="false" ht="15" hidden="false" customHeight="false" outlineLevel="0" collapsed="false">
      <c r="A25" s="5" t="s">
        <v>42</v>
      </c>
      <c r="B25" s="6" t="s">
        <v>43</v>
      </c>
    </row>
    <row r="26" customFormat="false" ht="15" hidden="false" customHeight="false" outlineLevel="0" collapsed="false">
      <c r="A26" s="5" t="s">
        <v>44</v>
      </c>
      <c r="B26" s="6" t="s">
        <v>45</v>
      </c>
    </row>
    <row r="27" customFormat="false" ht="15" hidden="false" customHeight="false" outlineLevel="0" collapsed="false">
      <c r="A27" s="5" t="s">
        <v>46</v>
      </c>
      <c r="B27" s="6" t="s">
        <v>47</v>
      </c>
    </row>
    <row r="28" customFormat="false" ht="15" hidden="false" customHeight="false" outlineLevel="0" collapsed="false">
      <c r="A28" s="5" t="s">
        <v>48</v>
      </c>
      <c r="B28" s="6" t="s">
        <v>49</v>
      </c>
    </row>
    <row r="29" customFormat="false" ht="15" hidden="false" customHeight="false" outlineLevel="0" collapsed="false">
      <c r="A29" s="5" t="s">
        <v>50</v>
      </c>
      <c r="B29" s="6" t="s">
        <v>51</v>
      </c>
    </row>
    <row r="30" customFormat="false" ht="15" hidden="false" customHeight="false" outlineLevel="0" collapsed="false">
      <c r="A30" s="5" t="s">
        <v>52</v>
      </c>
      <c r="B30" s="6" t="s">
        <v>53</v>
      </c>
    </row>
    <row r="31" customFormat="false" ht="15" hidden="false" customHeight="false" outlineLevel="0" collapsed="false">
      <c r="A31" s="5" t="s">
        <v>54</v>
      </c>
      <c r="B31" s="6" t="s">
        <v>55</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8"/>
    <col collapsed="false" customWidth="true" hidden="false" outlineLevel="0" max="3" min="3" style="0" width="52"/>
    <col collapsed="false" customWidth="true" hidden="false" outlineLevel="0" max="4" min="4" style="0" width="30"/>
    <col collapsed="false" customWidth="true" hidden="false" outlineLevel="0" max="5" min="5" style="0" width="16"/>
    <col collapsed="false" customWidth="true" hidden="false" outlineLevel="0" max="6" min="6" style="0" width="11"/>
    <col collapsed="false" customWidth="true" hidden="false" outlineLevel="0" max="7" min="7" style="0" width="34"/>
    <col collapsed="false" customWidth="true" hidden="false" outlineLevel="0" max="8" min="8" style="0" width="8"/>
    <col collapsed="false" customWidth="true" hidden="false" outlineLevel="0" max="9" min="9" style="0" width="12"/>
  </cols>
  <sheetData>
    <row r="1" customFormat="false" ht="16.15" hidden="false" customHeight="false" outlineLevel="0" collapsed="false">
      <c r="A1" s="4" t="s">
        <v>56</v>
      </c>
    </row>
    <row r="2" customFormat="false" ht="15" hidden="false" customHeight="false" outlineLevel="0" collapsed="false">
      <c r="A2" s="7" t="s">
        <v>57</v>
      </c>
    </row>
    <row r="4" customFormat="false" ht="15" hidden="false" customHeight="false" outlineLevel="0" collapsed="false">
      <c r="A4" s="8" t="s">
        <v>58</v>
      </c>
      <c r="B4" s="8" t="s">
        <v>59</v>
      </c>
      <c r="C4" s="8" t="s">
        <v>60</v>
      </c>
      <c r="D4" s="8" t="s">
        <v>61</v>
      </c>
      <c r="E4" s="8" t="s">
        <v>62</v>
      </c>
      <c r="F4" s="8" t="s">
        <v>63</v>
      </c>
      <c r="G4" s="8" t="s">
        <v>64</v>
      </c>
      <c r="H4" s="8" t="s">
        <v>65</v>
      </c>
      <c r="I4" s="8" t="s">
        <v>66</v>
      </c>
    </row>
    <row r="5" customFormat="false" ht="15" hidden="false" customHeight="false" outlineLevel="0" collapsed="false">
      <c r="A5" s="9" t="s">
        <v>67</v>
      </c>
      <c r="B5" s="9" t="s">
        <v>68</v>
      </c>
      <c r="C5" s="10" t="s">
        <v>69</v>
      </c>
      <c r="D5" s="10" t="s">
        <v>70</v>
      </c>
      <c r="E5" s="9" t="s">
        <v>71</v>
      </c>
      <c r="F5" s="9" t="s">
        <v>72</v>
      </c>
      <c r="G5" s="10" t="s">
        <v>73</v>
      </c>
      <c r="H5" s="9" t="s">
        <v>74</v>
      </c>
      <c r="I5" s="11" t="s">
        <v>75</v>
      </c>
    </row>
    <row r="6" customFormat="false" ht="15" hidden="false" customHeight="false" outlineLevel="0" collapsed="false">
      <c r="A6" s="9" t="s">
        <v>76</v>
      </c>
      <c r="B6" s="9" t="s">
        <v>68</v>
      </c>
      <c r="C6" s="10" t="s">
        <v>77</v>
      </c>
      <c r="D6" s="10" t="s">
        <v>78</v>
      </c>
      <c r="E6" s="9" t="s">
        <v>79</v>
      </c>
      <c r="F6" s="9" t="s">
        <v>80</v>
      </c>
      <c r="G6" s="10" t="s">
        <v>81</v>
      </c>
      <c r="H6" s="9" t="s">
        <v>82</v>
      </c>
      <c r="I6" s="12" t="s">
        <v>83</v>
      </c>
    </row>
    <row r="7" customFormat="false" ht="23.85" hidden="false" customHeight="false" outlineLevel="0" collapsed="false">
      <c r="A7" s="9" t="s">
        <v>67</v>
      </c>
      <c r="B7" s="9" t="s">
        <v>84</v>
      </c>
      <c r="C7" s="10" t="s">
        <v>85</v>
      </c>
      <c r="D7" s="10" t="s">
        <v>86</v>
      </c>
      <c r="E7" s="9" t="s">
        <v>87</v>
      </c>
      <c r="F7" s="9" t="s">
        <v>88</v>
      </c>
      <c r="G7" s="10" t="s">
        <v>89</v>
      </c>
      <c r="H7" s="9" t="s">
        <v>90</v>
      </c>
      <c r="I7" s="11" t="s">
        <v>75</v>
      </c>
    </row>
    <row r="8" customFormat="false" ht="15" hidden="false" customHeight="false" outlineLevel="0" collapsed="false">
      <c r="A8" s="9" t="s">
        <v>76</v>
      </c>
      <c r="B8" s="9" t="s">
        <v>84</v>
      </c>
      <c r="C8" s="10" t="s">
        <v>91</v>
      </c>
      <c r="D8" s="10" t="s">
        <v>92</v>
      </c>
      <c r="E8" s="9" t="s">
        <v>93</v>
      </c>
      <c r="F8" s="9" t="s">
        <v>94</v>
      </c>
      <c r="G8" s="10" t="s">
        <v>95</v>
      </c>
      <c r="H8" s="9" t="s">
        <v>96</v>
      </c>
      <c r="I8" s="12" t="s">
        <v>83</v>
      </c>
    </row>
    <row r="9" customFormat="false" ht="23.85" hidden="false" customHeight="false" outlineLevel="0" collapsed="false">
      <c r="A9" s="9" t="s">
        <v>67</v>
      </c>
      <c r="B9" s="9" t="s">
        <v>97</v>
      </c>
      <c r="C9" s="10" t="s">
        <v>98</v>
      </c>
      <c r="D9" s="10" t="s">
        <v>99</v>
      </c>
      <c r="E9" s="9" t="s">
        <v>87</v>
      </c>
      <c r="F9" s="9" t="s">
        <v>100</v>
      </c>
      <c r="G9" s="10" t="s">
        <v>101</v>
      </c>
      <c r="H9" s="9" t="s">
        <v>102</v>
      </c>
      <c r="I9" s="11" t="s">
        <v>75</v>
      </c>
    </row>
    <row r="10" customFormat="false" ht="15" hidden="false" customHeight="false" outlineLevel="0" collapsed="false">
      <c r="A10" s="9" t="s">
        <v>76</v>
      </c>
      <c r="B10" s="9" t="s">
        <v>97</v>
      </c>
      <c r="C10" s="10" t="s">
        <v>103</v>
      </c>
      <c r="D10" s="10" t="s">
        <v>104</v>
      </c>
      <c r="E10" s="9" t="s">
        <v>105</v>
      </c>
      <c r="F10" s="9" t="s">
        <v>94</v>
      </c>
      <c r="G10" s="10" t="s">
        <v>73</v>
      </c>
      <c r="H10" s="9" t="s">
        <v>106</v>
      </c>
      <c r="I10" s="12" t="s">
        <v>83</v>
      </c>
    </row>
    <row r="11" customFormat="false" ht="15" hidden="false" customHeight="false" outlineLevel="0" collapsed="false">
      <c r="A11" s="9" t="s">
        <v>76</v>
      </c>
      <c r="B11" s="9" t="s">
        <v>107</v>
      </c>
      <c r="C11" s="10" t="s">
        <v>108</v>
      </c>
      <c r="D11" s="10" t="s">
        <v>109</v>
      </c>
      <c r="E11" s="9" t="s">
        <v>110</v>
      </c>
      <c r="F11" s="9" t="s">
        <v>111</v>
      </c>
      <c r="G11" s="10" t="s">
        <v>112</v>
      </c>
      <c r="H11" s="9" t="s">
        <v>113</v>
      </c>
      <c r="I11" s="12" t="s">
        <v>83</v>
      </c>
    </row>
    <row r="12" customFormat="false" ht="23.85" hidden="false" customHeight="false" outlineLevel="0" collapsed="false">
      <c r="A12" s="9" t="s">
        <v>67</v>
      </c>
      <c r="B12" s="9" t="s">
        <v>107</v>
      </c>
      <c r="C12" s="10" t="s">
        <v>114</v>
      </c>
      <c r="D12" s="10" t="s">
        <v>115</v>
      </c>
      <c r="E12" s="9" t="s">
        <v>116</v>
      </c>
      <c r="F12" s="9" t="s">
        <v>117</v>
      </c>
      <c r="G12" s="10" t="s">
        <v>118</v>
      </c>
      <c r="H12" s="9" t="s">
        <v>119</v>
      </c>
      <c r="I12" s="11" t="s">
        <v>75</v>
      </c>
    </row>
    <row r="13" customFormat="false" ht="23.85" hidden="false" customHeight="false" outlineLevel="0" collapsed="false">
      <c r="A13" s="9" t="s">
        <v>67</v>
      </c>
      <c r="B13" s="9" t="s">
        <v>120</v>
      </c>
      <c r="C13" s="10" t="s">
        <v>121</v>
      </c>
      <c r="D13" s="10" t="s">
        <v>122</v>
      </c>
      <c r="E13" s="9" t="s">
        <v>123</v>
      </c>
      <c r="F13" s="9" t="s">
        <v>124</v>
      </c>
      <c r="G13" s="10" t="s">
        <v>125</v>
      </c>
      <c r="H13" s="9" t="s">
        <v>126</v>
      </c>
      <c r="I13" s="11" t="s">
        <v>75</v>
      </c>
    </row>
    <row r="14" customFormat="false" ht="23.85" hidden="false" customHeight="false" outlineLevel="0" collapsed="false">
      <c r="A14" s="9" t="s">
        <v>67</v>
      </c>
      <c r="B14" s="9" t="s">
        <v>127</v>
      </c>
      <c r="C14" s="10" t="s">
        <v>128</v>
      </c>
      <c r="D14" s="10" t="s">
        <v>129</v>
      </c>
      <c r="E14" s="9" t="s">
        <v>130</v>
      </c>
      <c r="F14" s="9" t="s">
        <v>131</v>
      </c>
      <c r="G14" s="10" t="s">
        <v>132</v>
      </c>
      <c r="H14" s="9" t="s">
        <v>133</v>
      </c>
      <c r="I14" s="11" t="s">
        <v>75</v>
      </c>
    </row>
    <row r="15" customFormat="false" ht="23.85" hidden="false" customHeight="false" outlineLevel="0" collapsed="false">
      <c r="A15" s="9" t="s">
        <v>76</v>
      </c>
      <c r="B15" s="9" t="s">
        <v>134</v>
      </c>
      <c r="C15" s="10" t="s">
        <v>135</v>
      </c>
      <c r="D15" s="10" t="s">
        <v>136</v>
      </c>
      <c r="E15" s="9" t="s">
        <v>137</v>
      </c>
      <c r="F15" s="9" t="s">
        <v>138</v>
      </c>
      <c r="G15" s="10" t="s">
        <v>73</v>
      </c>
      <c r="H15" s="9" t="s">
        <v>139</v>
      </c>
      <c r="I15" s="12" t="s">
        <v>83</v>
      </c>
    </row>
    <row r="16" customFormat="false" ht="15" hidden="false" customHeight="false" outlineLevel="0" collapsed="false">
      <c r="A16" s="9" t="s">
        <v>76</v>
      </c>
      <c r="B16" s="9" t="s">
        <v>140</v>
      </c>
      <c r="C16" s="10" t="s">
        <v>141</v>
      </c>
      <c r="D16" s="10" t="s">
        <v>142</v>
      </c>
      <c r="E16" s="9" t="s">
        <v>143</v>
      </c>
      <c r="F16" s="9" t="s">
        <v>138</v>
      </c>
      <c r="G16" s="10" t="s">
        <v>73</v>
      </c>
      <c r="H16" s="9" t="s">
        <v>139</v>
      </c>
      <c r="I16" s="12" t="s">
        <v>83</v>
      </c>
    </row>
    <row r="17" customFormat="false" ht="23.85" hidden="false" customHeight="false" outlineLevel="0" collapsed="false">
      <c r="A17" s="9" t="s">
        <v>76</v>
      </c>
      <c r="B17" s="9" t="s">
        <v>144</v>
      </c>
      <c r="C17" s="10" t="s">
        <v>145</v>
      </c>
      <c r="D17" s="10" t="s">
        <v>146</v>
      </c>
      <c r="E17" s="9" t="s">
        <v>143</v>
      </c>
      <c r="F17" s="9" t="s">
        <v>138</v>
      </c>
      <c r="G17" s="10" t="s">
        <v>73</v>
      </c>
      <c r="H17" s="9" t="s">
        <v>147</v>
      </c>
      <c r="I17" s="12" t="s">
        <v>83</v>
      </c>
    </row>
    <row r="18" customFormat="false" ht="23.85" hidden="false" customHeight="false" outlineLevel="0" collapsed="false">
      <c r="A18" s="9" t="s">
        <v>76</v>
      </c>
      <c r="B18" s="9" t="s">
        <v>148</v>
      </c>
      <c r="C18" s="10" t="s">
        <v>149</v>
      </c>
      <c r="D18" s="10" t="s">
        <v>150</v>
      </c>
      <c r="E18" s="9" t="s">
        <v>151</v>
      </c>
      <c r="F18" s="9" t="s">
        <v>152</v>
      </c>
      <c r="G18" s="10" t="s">
        <v>153</v>
      </c>
      <c r="H18" s="9" t="s">
        <v>154</v>
      </c>
      <c r="I18" s="12" t="s">
        <v>83</v>
      </c>
    </row>
    <row r="19" customFormat="false" ht="23.85" hidden="false" customHeight="false" outlineLevel="0" collapsed="false">
      <c r="A19" s="9" t="s">
        <v>76</v>
      </c>
      <c r="B19" s="9" t="s">
        <v>155</v>
      </c>
      <c r="C19" s="10" t="s">
        <v>156</v>
      </c>
      <c r="D19" s="10" t="s">
        <v>157</v>
      </c>
      <c r="E19" s="9" t="s">
        <v>158</v>
      </c>
      <c r="F19" s="9" t="s">
        <v>159</v>
      </c>
      <c r="G19" s="10" t="s">
        <v>153</v>
      </c>
      <c r="H19" s="9" t="s">
        <v>160</v>
      </c>
      <c r="I19" s="12" t="s">
        <v>83</v>
      </c>
    </row>
    <row r="20" customFormat="false" ht="23.85" hidden="false" customHeight="false" outlineLevel="0" collapsed="false">
      <c r="A20" s="9" t="s">
        <v>67</v>
      </c>
      <c r="B20" s="9" t="s">
        <v>134</v>
      </c>
      <c r="C20" s="10" t="s">
        <v>161</v>
      </c>
      <c r="D20" s="10" t="s">
        <v>162</v>
      </c>
      <c r="E20" s="9" t="s">
        <v>163</v>
      </c>
      <c r="F20" s="9" t="s">
        <v>164</v>
      </c>
      <c r="G20" s="10" t="s">
        <v>153</v>
      </c>
      <c r="H20" s="9" t="s">
        <v>165</v>
      </c>
      <c r="I20" s="11" t="s">
        <v>75</v>
      </c>
    </row>
    <row r="21" customFormat="false" ht="15" hidden="false" customHeight="false" outlineLevel="0" collapsed="false">
      <c r="A21" s="9" t="s">
        <v>67</v>
      </c>
      <c r="B21" s="9" t="s">
        <v>140</v>
      </c>
      <c r="C21" s="10" t="s">
        <v>166</v>
      </c>
      <c r="D21" s="10" t="s">
        <v>167</v>
      </c>
      <c r="E21" s="9" t="s">
        <v>130</v>
      </c>
      <c r="F21" s="9" t="s">
        <v>138</v>
      </c>
      <c r="G21" s="10" t="s">
        <v>168</v>
      </c>
      <c r="H21" s="9" t="s">
        <v>169</v>
      </c>
      <c r="I21" s="11" t="s">
        <v>75</v>
      </c>
    </row>
    <row r="22" customFormat="false" ht="23.85" hidden="false" customHeight="false" outlineLevel="0" collapsed="false">
      <c r="A22" s="9" t="s">
        <v>76</v>
      </c>
      <c r="B22" s="9" t="s">
        <v>170</v>
      </c>
      <c r="C22" s="10" t="s">
        <v>171</v>
      </c>
      <c r="D22" s="10" t="s">
        <v>172</v>
      </c>
      <c r="E22" s="9" t="s">
        <v>173</v>
      </c>
      <c r="F22" s="9" t="s">
        <v>174</v>
      </c>
      <c r="G22" s="10" t="s">
        <v>153</v>
      </c>
      <c r="H22" s="9" t="s">
        <v>175</v>
      </c>
      <c r="I22" s="12" t="s">
        <v>83</v>
      </c>
    </row>
    <row r="23" customFormat="false" ht="23.85" hidden="false" customHeight="false" outlineLevel="0" collapsed="false">
      <c r="A23" s="9" t="s">
        <v>76</v>
      </c>
      <c r="B23" s="9" t="s">
        <v>176</v>
      </c>
      <c r="C23" s="10" t="s">
        <v>177</v>
      </c>
      <c r="D23" s="10" t="s">
        <v>178</v>
      </c>
      <c r="E23" s="9" t="s">
        <v>179</v>
      </c>
      <c r="F23" s="9" t="s">
        <v>174</v>
      </c>
      <c r="G23" s="10" t="s">
        <v>153</v>
      </c>
      <c r="H23" s="9" t="s">
        <v>175</v>
      </c>
      <c r="I23" s="12" t="s">
        <v>83</v>
      </c>
    </row>
    <row r="24" customFormat="false" ht="15" hidden="false" customHeight="false" outlineLevel="0" collapsed="false">
      <c r="A24" s="9" t="s">
        <v>76</v>
      </c>
      <c r="B24" s="9" t="s">
        <v>180</v>
      </c>
      <c r="C24" s="10" t="s">
        <v>181</v>
      </c>
      <c r="D24" s="10" t="s">
        <v>182</v>
      </c>
      <c r="E24" s="9" t="s">
        <v>183</v>
      </c>
      <c r="F24" s="9" t="s">
        <v>138</v>
      </c>
      <c r="G24" s="10" t="s">
        <v>73</v>
      </c>
      <c r="H24" s="9" t="s">
        <v>184</v>
      </c>
      <c r="I24" s="12" t="s">
        <v>83</v>
      </c>
    </row>
    <row r="25" customFormat="false" ht="15" hidden="false" customHeight="false" outlineLevel="0" collapsed="false">
      <c r="A25" s="9" t="s">
        <v>76</v>
      </c>
      <c r="B25" s="9" t="s">
        <v>185</v>
      </c>
      <c r="C25" s="10" t="s">
        <v>186</v>
      </c>
      <c r="D25" s="10" t="s">
        <v>187</v>
      </c>
      <c r="E25" s="9" t="s">
        <v>183</v>
      </c>
      <c r="F25" s="9" t="s">
        <v>138</v>
      </c>
      <c r="G25" s="10" t="s">
        <v>73</v>
      </c>
      <c r="H25" s="9" t="s">
        <v>188</v>
      </c>
      <c r="I25" s="12" t="s">
        <v>83</v>
      </c>
    </row>
    <row r="26" customFormat="false" ht="23.85" hidden="false" customHeight="false" outlineLevel="0" collapsed="false">
      <c r="A26" s="9" t="s">
        <v>67</v>
      </c>
      <c r="B26" s="9" t="s">
        <v>144</v>
      </c>
      <c r="C26" s="10" t="s">
        <v>189</v>
      </c>
      <c r="D26" s="10" t="s">
        <v>190</v>
      </c>
      <c r="E26" s="9" t="s">
        <v>191</v>
      </c>
      <c r="F26" s="9" t="s">
        <v>192</v>
      </c>
      <c r="G26" s="10" t="s">
        <v>193</v>
      </c>
      <c r="H26" s="9" t="s">
        <v>194</v>
      </c>
      <c r="I26" s="11" t="s">
        <v>75</v>
      </c>
    </row>
    <row r="27" customFormat="false" ht="23.85" hidden="false" customHeight="false" outlineLevel="0" collapsed="false">
      <c r="A27" s="9" t="s">
        <v>76</v>
      </c>
      <c r="B27" s="9" t="s">
        <v>195</v>
      </c>
      <c r="C27" s="10" t="s">
        <v>196</v>
      </c>
      <c r="D27" s="10" t="s">
        <v>197</v>
      </c>
      <c r="E27" s="9" t="s">
        <v>179</v>
      </c>
      <c r="F27" s="9" t="s">
        <v>192</v>
      </c>
      <c r="G27" s="10" t="s">
        <v>193</v>
      </c>
      <c r="H27" s="9" t="s">
        <v>198</v>
      </c>
      <c r="I27" s="12" t="s">
        <v>83</v>
      </c>
    </row>
    <row r="28" customFormat="false" ht="23.85" hidden="false" customHeight="false" outlineLevel="0" collapsed="false">
      <c r="A28" s="9" t="s">
        <v>67</v>
      </c>
      <c r="B28" s="9" t="s">
        <v>148</v>
      </c>
      <c r="C28" s="10" t="s">
        <v>199</v>
      </c>
      <c r="D28" s="10" t="s">
        <v>200</v>
      </c>
      <c r="E28" s="9" t="s">
        <v>173</v>
      </c>
      <c r="F28" s="9" t="s">
        <v>138</v>
      </c>
      <c r="G28" s="10" t="s">
        <v>201</v>
      </c>
      <c r="H28" s="9" t="s">
        <v>202</v>
      </c>
      <c r="I28" s="11" t="s">
        <v>75</v>
      </c>
    </row>
    <row r="29" customFormat="false" ht="23.85" hidden="false" customHeight="false" outlineLevel="0" collapsed="false">
      <c r="A29" s="9" t="s">
        <v>76</v>
      </c>
      <c r="B29" s="9" t="s">
        <v>203</v>
      </c>
      <c r="C29" s="10" t="s">
        <v>204</v>
      </c>
      <c r="D29" s="10" t="s">
        <v>205</v>
      </c>
      <c r="E29" s="9" t="s">
        <v>173</v>
      </c>
      <c r="F29" s="9" t="s">
        <v>138</v>
      </c>
      <c r="G29" s="10" t="s">
        <v>206</v>
      </c>
      <c r="H29" s="9" t="s">
        <v>207</v>
      </c>
      <c r="I29" s="12" t="s">
        <v>83</v>
      </c>
    </row>
    <row r="30" customFormat="false" ht="23.85" hidden="false" customHeight="false" outlineLevel="0" collapsed="false">
      <c r="A30" s="9" t="s">
        <v>76</v>
      </c>
      <c r="B30" s="9" t="s">
        <v>208</v>
      </c>
      <c r="C30" s="10" t="s">
        <v>209</v>
      </c>
      <c r="D30" s="10" t="s">
        <v>136</v>
      </c>
      <c r="E30" s="9" t="s">
        <v>137</v>
      </c>
      <c r="F30" s="9" t="s">
        <v>210</v>
      </c>
      <c r="G30" s="10" t="s">
        <v>73</v>
      </c>
      <c r="H30" s="9" t="s">
        <v>211</v>
      </c>
      <c r="I30" s="12" t="s">
        <v>83</v>
      </c>
    </row>
    <row r="31" customFormat="false" ht="15" hidden="false" customHeight="false" outlineLevel="0" collapsed="false">
      <c r="A31" s="9" t="s">
        <v>76</v>
      </c>
      <c r="B31" s="9" t="s">
        <v>212</v>
      </c>
      <c r="C31" s="10" t="s">
        <v>213</v>
      </c>
      <c r="D31" s="10" t="s">
        <v>142</v>
      </c>
      <c r="E31" s="9" t="s">
        <v>143</v>
      </c>
      <c r="F31" s="9" t="s">
        <v>210</v>
      </c>
      <c r="G31" s="10" t="s">
        <v>73</v>
      </c>
      <c r="H31" s="9" t="s">
        <v>211</v>
      </c>
      <c r="I31" s="12" t="s">
        <v>83</v>
      </c>
    </row>
    <row r="32" customFormat="false" ht="23.85" hidden="false" customHeight="false" outlineLevel="0" collapsed="false">
      <c r="A32" s="9" t="s">
        <v>76</v>
      </c>
      <c r="B32" s="9" t="s">
        <v>214</v>
      </c>
      <c r="C32" s="10" t="s">
        <v>215</v>
      </c>
      <c r="D32" s="10" t="s">
        <v>146</v>
      </c>
      <c r="E32" s="9" t="s">
        <v>143</v>
      </c>
      <c r="F32" s="9" t="s">
        <v>210</v>
      </c>
      <c r="G32" s="10" t="s">
        <v>73</v>
      </c>
      <c r="H32" s="9" t="s">
        <v>216</v>
      </c>
      <c r="I32" s="12" t="s">
        <v>83</v>
      </c>
    </row>
    <row r="33" customFormat="false" ht="23.85" hidden="false" customHeight="false" outlineLevel="0" collapsed="false">
      <c r="A33" s="9" t="s">
        <v>76</v>
      </c>
      <c r="B33" s="9" t="s">
        <v>217</v>
      </c>
      <c r="C33" s="10" t="s">
        <v>218</v>
      </c>
      <c r="D33" s="10" t="s">
        <v>219</v>
      </c>
      <c r="E33" s="9" t="s">
        <v>158</v>
      </c>
      <c r="F33" s="9" t="s">
        <v>220</v>
      </c>
      <c r="G33" s="10" t="s">
        <v>153</v>
      </c>
      <c r="H33" s="9" t="s">
        <v>221</v>
      </c>
      <c r="I33" s="12" t="s">
        <v>83</v>
      </c>
    </row>
    <row r="34" customFormat="false" ht="23.85" hidden="false" customHeight="false" outlineLevel="0" collapsed="false">
      <c r="A34" s="9" t="s">
        <v>67</v>
      </c>
      <c r="B34" s="9" t="s">
        <v>208</v>
      </c>
      <c r="C34" s="10" t="s">
        <v>222</v>
      </c>
      <c r="D34" s="10" t="s">
        <v>223</v>
      </c>
      <c r="E34" s="9" t="s">
        <v>224</v>
      </c>
      <c r="F34" s="9" t="s">
        <v>225</v>
      </c>
      <c r="G34" s="10" t="s">
        <v>153</v>
      </c>
      <c r="H34" s="9" t="s">
        <v>226</v>
      </c>
      <c r="I34" s="11" t="s">
        <v>75</v>
      </c>
    </row>
    <row r="35" customFormat="false" ht="23.85" hidden="false" customHeight="false" outlineLevel="0" collapsed="false">
      <c r="A35" s="9" t="s">
        <v>76</v>
      </c>
      <c r="B35" s="9" t="s">
        <v>227</v>
      </c>
      <c r="C35" s="10" t="s">
        <v>228</v>
      </c>
      <c r="D35" s="10" t="s">
        <v>229</v>
      </c>
      <c r="E35" s="9" t="s">
        <v>151</v>
      </c>
      <c r="F35" s="9" t="s">
        <v>220</v>
      </c>
      <c r="G35" s="10" t="s">
        <v>153</v>
      </c>
      <c r="H35" s="9" t="s">
        <v>230</v>
      </c>
      <c r="I35" s="12" t="s">
        <v>83</v>
      </c>
    </row>
    <row r="36" customFormat="false" ht="15" hidden="false" customHeight="false" outlineLevel="0" collapsed="false">
      <c r="A36" s="9" t="s">
        <v>67</v>
      </c>
      <c r="B36" s="9" t="s">
        <v>212</v>
      </c>
      <c r="C36" s="10" t="s">
        <v>231</v>
      </c>
      <c r="D36" s="10" t="s">
        <v>167</v>
      </c>
      <c r="E36" s="9" t="s">
        <v>130</v>
      </c>
      <c r="F36" s="9" t="s">
        <v>210</v>
      </c>
      <c r="G36" s="10" t="s">
        <v>168</v>
      </c>
      <c r="H36" s="9" t="s">
        <v>232</v>
      </c>
      <c r="I36" s="11" t="s">
        <v>75</v>
      </c>
    </row>
    <row r="37" customFormat="false" ht="23.85" hidden="false" customHeight="false" outlineLevel="0" collapsed="false">
      <c r="A37" s="9" t="s">
        <v>76</v>
      </c>
      <c r="B37" s="9" t="s">
        <v>233</v>
      </c>
      <c r="C37" s="10" t="s">
        <v>234</v>
      </c>
      <c r="D37" s="10" t="s">
        <v>235</v>
      </c>
      <c r="E37" s="9" t="s">
        <v>236</v>
      </c>
      <c r="F37" s="9" t="s">
        <v>237</v>
      </c>
      <c r="G37" s="10" t="s">
        <v>153</v>
      </c>
      <c r="H37" s="9" t="s">
        <v>238</v>
      </c>
      <c r="I37" s="12" t="s">
        <v>83</v>
      </c>
    </row>
    <row r="38" customFormat="false" ht="23.85" hidden="false" customHeight="false" outlineLevel="0" collapsed="false">
      <c r="A38" s="9" t="s">
        <v>67</v>
      </c>
      <c r="B38" s="9" t="s">
        <v>214</v>
      </c>
      <c r="C38" s="10" t="s">
        <v>239</v>
      </c>
      <c r="D38" s="10" t="s">
        <v>240</v>
      </c>
      <c r="E38" s="9" t="s">
        <v>179</v>
      </c>
      <c r="F38" s="9" t="s">
        <v>241</v>
      </c>
      <c r="G38" s="10" t="s">
        <v>153</v>
      </c>
      <c r="H38" s="9" t="s">
        <v>242</v>
      </c>
      <c r="I38" s="11" t="s">
        <v>75</v>
      </c>
    </row>
    <row r="39" customFormat="false" ht="23.85" hidden="false" customHeight="false" outlineLevel="0" collapsed="false">
      <c r="A39" s="9" t="s">
        <v>76</v>
      </c>
      <c r="B39" s="9" t="s">
        <v>243</v>
      </c>
      <c r="C39" s="10" t="s">
        <v>244</v>
      </c>
      <c r="D39" s="10" t="s">
        <v>245</v>
      </c>
      <c r="E39" s="9" t="s">
        <v>173</v>
      </c>
      <c r="F39" s="9" t="s">
        <v>237</v>
      </c>
      <c r="G39" s="10" t="s">
        <v>153</v>
      </c>
      <c r="H39" s="9" t="s">
        <v>246</v>
      </c>
      <c r="I39" s="12" t="s">
        <v>83</v>
      </c>
    </row>
    <row r="40" customFormat="false" ht="23.85" hidden="false" customHeight="false" outlineLevel="0" collapsed="false">
      <c r="A40" s="9" t="s">
        <v>76</v>
      </c>
      <c r="B40" s="9" t="s">
        <v>247</v>
      </c>
      <c r="C40" s="10" t="s">
        <v>248</v>
      </c>
      <c r="D40" s="10" t="s">
        <v>249</v>
      </c>
      <c r="E40" s="9" t="s">
        <v>173</v>
      </c>
      <c r="F40" s="9" t="s">
        <v>220</v>
      </c>
      <c r="G40" s="10" t="s">
        <v>153</v>
      </c>
      <c r="H40" s="9" t="s">
        <v>250</v>
      </c>
      <c r="I40" s="12" t="s">
        <v>83</v>
      </c>
    </row>
    <row r="41" customFormat="false" ht="23.85" hidden="false" customHeight="false" outlineLevel="0" collapsed="false">
      <c r="A41" s="9" t="s">
        <v>76</v>
      </c>
      <c r="B41" s="9" t="s">
        <v>251</v>
      </c>
      <c r="C41" s="10" t="s">
        <v>252</v>
      </c>
      <c r="D41" s="10" t="s">
        <v>253</v>
      </c>
      <c r="E41" s="9" t="s">
        <v>179</v>
      </c>
      <c r="F41" s="9" t="s">
        <v>220</v>
      </c>
      <c r="G41" s="10" t="s">
        <v>153</v>
      </c>
      <c r="H41" s="9" t="s">
        <v>254</v>
      </c>
      <c r="I41" s="12" t="s">
        <v>83</v>
      </c>
    </row>
    <row r="42" customFormat="false" ht="15" hidden="false" customHeight="false" outlineLevel="0" collapsed="false">
      <c r="A42" s="9" t="s">
        <v>76</v>
      </c>
      <c r="B42" s="9" t="s">
        <v>255</v>
      </c>
      <c r="C42" s="10" t="s">
        <v>256</v>
      </c>
      <c r="D42" s="10" t="s">
        <v>182</v>
      </c>
      <c r="E42" s="9" t="s">
        <v>183</v>
      </c>
      <c r="F42" s="9" t="s">
        <v>210</v>
      </c>
      <c r="G42" s="10" t="s">
        <v>73</v>
      </c>
      <c r="H42" s="9" t="s">
        <v>257</v>
      </c>
      <c r="I42" s="12" t="s">
        <v>83</v>
      </c>
    </row>
    <row r="43" customFormat="false" ht="15" hidden="false" customHeight="false" outlineLevel="0" collapsed="false">
      <c r="A43" s="9" t="s">
        <v>76</v>
      </c>
      <c r="B43" s="9" t="s">
        <v>258</v>
      </c>
      <c r="C43" s="10" t="s">
        <v>259</v>
      </c>
      <c r="D43" s="10" t="s">
        <v>187</v>
      </c>
      <c r="E43" s="9" t="s">
        <v>183</v>
      </c>
      <c r="F43" s="9" t="s">
        <v>210</v>
      </c>
      <c r="G43" s="10" t="s">
        <v>73</v>
      </c>
      <c r="H43" s="9" t="s">
        <v>257</v>
      </c>
      <c r="I43" s="12" t="s">
        <v>83</v>
      </c>
    </row>
    <row r="44" customFormat="false" ht="23.85" hidden="false" customHeight="false" outlineLevel="0" collapsed="false">
      <c r="A44" s="9" t="s">
        <v>67</v>
      </c>
      <c r="B44" s="9" t="s">
        <v>217</v>
      </c>
      <c r="C44" s="10" t="s">
        <v>260</v>
      </c>
      <c r="D44" s="10" t="s">
        <v>261</v>
      </c>
      <c r="E44" s="9" t="s">
        <v>191</v>
      </c>
      <c r="F44" s="9" t="s">
        <v>225</v>
      </c>
      <c r="G44" s="10" t="s">
        <v>153</v>
      </c>
      <c r="H44" s="9" t="s">
        <v>262</v>
      </c>
      <c r="I44" s="11" t="s">
        <v>75</v>
      </c>
    </row>
    <row r="45" customFormat="false" ht="23.85" hidden="false" customHeight="false" outlineLevel="0" collapsed="false">
      <c r="A45" s="9" t="s">
        <v>76</v>
      </c>
      <c r="B45" s="9" t="s">
        <v>263</v>
      </c>
      <c r="C45" s="10" t="s">
        <v>264</v>
      </c>
      <c r="D45" s="10" t="s">
        <v>265</v>
      </c>
      <c r="E45" s="9" t="s">
        <v>179</v>
      </c>
      <c r="F45" s="9" t="s">
        <v>225</v>
      </c>
      <c r="G45" s="10" t="s">
        <v>153</v>
      </c>
      <c r="H45" s="9" t="s">
        <v>266</v>
      </c>
      <c r="I45" s="12" t="s">
        <v>83</v>
      </c>
    </row>
    <row r="46" customFormat="false" ht="23.85" hidden="false" customHeight="false" outlineLevel="0" collapsed="false">
      <c r="A46" s="9" t="s">
        <v>67</v>
      </c>
      <c r="B46" s="9" t="s">
        <v>227</v>
      </c>
      <c r="C46" s="10" t="s">
        <v>267</v>
      </c>
      <c r="D46" s="10" t="s">
        <v>268</v>
      </c>
      <c r="E46" s="9" t="s">
        <v>173</v>
      </c>
      <c r="F46" s="9" t="s">
        <v>225</v>
      </c>
      <c r="G46" s="10" t="s">
        <v>201</v>
      </c>
      <c r="H46" s="9" t="s">
        <v>269</v>
      </c>
      <c r="I46" s="11" t="s">
        <v>75</v>
      </c>
    </row>
    <row r="47" customFormat="false" ht="23.85" hidden="false" customHeight="false" outlineLevel="0" collapsed="false">
      <c r="A47" s="9" t="s">
        <v>67</v>
      </c>
      <c r="B47" s="9" t="s">
        <v>233</v>
      </c>
      <c r="C47" s="10" t="s">
        <v>270</v>
      </c>
      <c r="D47" s="10" t="s">
        <v>271</v>
      </c>
      <c r="E47" s="9" t="s">
        <v>173</v>
      </c>
      <c r="F47" s="9" t="s">
        <v>225</v>
      </c>
      <c r="G47" s="10" t="s">
        <v>201</v>
      </c>
      <c r="H47" s="9" t="s">
        <v>272</v>
      </c>
      <c r="I47" s="11" t="s">
        <v>75</v>
      </c>
    </row>
    <row r="48" customFormat="false" ht="23.85" hidden="false" customHeight="false" outlineLevel="0" collapsed="false">
      <c r="A48" s="9" t="s">
        <v>76</v>
      </c>
      <c r="B48" s="9" t="s">
        <v>273</v>
      </c>
      <c r="C48" s="10" t="s">
        <v>274</v>
      </c>
      <c r="D48" s="10" t="s">
        <v>205</v>
      </c>
      <c r="E48" s="9" t="s">
        <v>173</v>
      </c>
      <c r="F48" s="9" t="s">
        <v>225</v>
      </c>
      <c r="G48" s="10" t="s">
        <v>206</v>
      </c>
      <c r="H48" s="9" t="s">
        <v>275</v>
      </c>
      <c r="I48" s="12" t="s">
        <v>83</v>
      </c>
    </row>
    <row r="49" customFormat="false" ht="23.85" hidden="false" customHeight="false" outlineLevel="0" collapsed="false">
      <c r="A49" s="9" t="s">
        <v>76</v>
      </c>
      <c r="B49" s="9" t="s">
        <v>276</v>
      </c>
      <c r="C49" s="10" t="s">
        <v>277</v>
      </c>
      <c r="D49" s="10" t="s">
        <v>278</v>
      </c>
      <c r="E49" s="9" t="s">
        <v>179</v>
      </c>
      <c r="F49" s="9" t="s">
        <v>225</v>
      </c>
      <c r="G49" s="10" t="s">
        <v>193</v>
      </c>
      <c r="H49" s="9" t="s">
        <v>279</v>
      </c>
      <c r="I49" s="12" t="s">
        <v>83</v>
      </c>
    </row>
    <row r="50" customFormat="false" ht="23.85" hidden="false" customHeight="false" outlineLevel="0" collapsed="false">
      <c r="A50" s="9" t="s">
        <v>76</v>
      </c>
      <c r="B50" s="9" t="s">
        <v>280</v>
      </c>
      <c r="C50" s="10" t="s">
        <v>281</v>
      </c>
      <c r="D50" s="10" t="s">
        <v>136</v>
      </c>
      <c r="E50" s="9" t="s">
        <v>137</v>
      </c>
      <c r="F50" s="9" t="s">
        <v>282</v>
      </c>
      <c r="G50" s="10" t="s">
        <v>73</v>
      </c>
      <c r="H50" s="9" t="s">
        <v>283</v>
      </c>
      <c r="I50" s="12" t="s">
        <v>83</v>
      </c>
    </row>
    <row r="51" customFormat="false" ht="15" hidden="false" customHeight="false" outlineLevel="0" collapsed="false">
      <c r="A51" s="9" t="s">
        <v>76</v>
      </c>
      <c r="B51" s="9" t="s">
        <v>284</v>
      </c>
      <c r="C51" s="10" t="s">
        <v>285</v>
      </c>
      <c r="D51" s="10" t="s">
        <v>142</v>
      </c>
      <c r="E51" s="9" t="s">
        <v>143</v>
      </c>
      <c r="F51" s="9" t="s">
        <v>282</v>
      </c>
      <c r="G51" s="10" t="s">
        <v>73</v>
      </c>
      <c r="H51" s="9" t="s">
        <v>283</v>
      </c>
      <c r="I51" s="12" t="s">
        <v>83</v>
      </c>
    </row>
    <row r="52" customFormat="false" ht="23.85" hidden="false" customHeight="false" outlineLevel="0" collapsed="false">
      <c r="A52" s="9" t="s">
        <v>76</v>
      </c>
      <c r="B52" s="9" t="s">
        <v>286</v>
      </c>
      <c r="C52" s="10" t="s">
        <v>287</v>
      </c>
      <c r="D52" s="10" t="s">
        <v>146</v>
      </c>
      <c r="E52" s="9" t="s">
        <v>143</v>
      </c>
      <c r="F52" s="9" t="s">
        <v>282</v>
      </c>
      <c r="G52" s="10" t="s">
        <v>73</v>
      </c>
      <c r="H52" s="9" t="s">
        <v>288</v>
      </c>
      <c r="I52" s="12" t="s">
        <v>83</v>
      </c>
    </row>
    <row r="53" customFormat="false" ht="23.85" hidden="false" customHeight="false" outlineLevel="0" collapsed="false">
      <c r="A53" s="9" t="s">
        <v>76</v>
      </c>
      <c r="B53" s="9" t="s">
        <v>289</v>
      </c>
      <c r="C53" s="10" t="s">
        <v>290</v>
      </c>
      <c r="D53" s="10" t="s">
        <v>219</v>
      </c>
      <c r="E53" s="9" t="s">
        <v>158</v>
      </c>
      <c r="F53" s="9" t="s">
        <v>291</v>
      </c>
      <c r="G53" s="10" t="s">
        <v>153</v>
      </c>
      <c r="H53" s="9" t="s">
        <v>292</v>
      </c>
      <c r="I53" s="12" t="s">
        <v>83</v>
      </c>
    </row>
    <row r="54" customFormat="false" ht="23.85" hidden="false" customHeight="false" outlineLevel="0" collapsed="false">
      <c r="A54" s="9" t="s">
        <v>67</v>
      </c>
      <c r="B54" s="9" t="s">
        <v>280</v>
      </c>
      <c r="C54" s="10" t="s">
        <v>293</v>
      </c>
      <c r="D54" s="10" t="s">
        <v>223</v>
      </c>
      <c r="E54" s="9" t="s">
        <v>294</v>
      </c>
      <c r="F54" s="9" t="s">
        <v>295</v>
      </c>
      <c r="G54" s="10" t="s">
        <v>153</v>
      </c>
      <c r="H54" s="9" t="s">
        <v>296</v>
      </c>
      <c r="I54" s="11" t="s">
        <v>75</v>
      </c>
    </row>
    <row r="55" customFormat="false" ht="23.85" hidden="false" customHeight="false" outlineLevel="0" collapsed="false">
      <c r="A55" s="9" t="s">
        <v>76</v>
      </c>
      <c r="B55" s="9" t="s">
        <v>297</v>
      </c>
      <c r="C55" s="10" t="s">
        <v>298</v>
      </c>
      <c r="D55" s="10" t="s">
        <v>229</v>
      </c>
      <c r="E55" s="9" t="s">
        <v>151</v>
      </c>
      <c r="F55" s="9" t="s">
        <v>299</v>
      </c>
      <c r="G55" s="10" t="s">
        <v>153</v>
      </c>
      <c r="H55" s="9" t="s">
        <v>300</v>
      </c>
      <c r="I55" s="12" t="s">
        <v>83</v>
      </c>
    </row>
    <row r="56" customFormat="false" ht="15" hidden="false" customHeight="false" outlineLevel="0" collapsed="false">
      <c r="A56" s="9" t="s">
        <v>67</v>
      </c>
      <c r="B56" s="9" t="s">
        <v>284</v>
      </c>
      <c r="C56" s="10" t="s">
        <v>301</v>
      </c>
      <c r="D56" s="10" t="s">
        <v>167</v>
      </c>
      <c r="E56" s="9" t="s">
        <v>130</v>
      </c>
      <c r="F56" s="9" t="s">
        <v>282</v>
      </c>
      <c r="G56" s="10" t="s">
        <v>168</v>
      </c>
      <c r="H56" s="9" t="s">
        <v>302</v>
      </c>
      <c r="I56" s="11" t="s">
        <v>75</v>
      </c>
    </row>
    <row r="57" customFormat="false" ht="23.85" hidden="false" customHeight="false" outlineLevel="0" collapsed="false">
      <c r="A57" s="9" t="s">
        <v>76</v>
      </c>
      <c r="B57" s="9" t="s">
        <v>303</v>
      </c>
      <c r="C57" s="10" t="s">
        <v>304</v>
      </c>
      <c r="D57" s="10" t="s">
        <v>219</v>
      </c>
      <c r="E57" s="9" t="s">
        <v>158</v>
      </c>
      <c r="F57" s="9" t="s">
        <v>305</v>
      </c>
      <c r="G57" s="10" t="s">
        <v>153</v>
      </c>
      <c r="H57" s="9" t="s">
        <v>306</v>
      </c>
      <c r="I57" s="12" t="s">
        <v>83</v>
      </c>
    </row>
    <row r="58" customFormat="false" ht="23.85" hidden="false" customHeight="false" outlineLevel="0" collapsed="false">
      <c r="A58" s="9" t="s">
        <v>67</v>
      </c>
      <c r="B58" s="9" t="s">
        <v>286</v>
      </c>
      <c r="C58" s="10" t="s">
        <v>307</v>
      </c>
      <c r="D58" s="10" t="s">
        <v>308</v>
      </c>
      <c r="E58" s="9" t="s">
        <v>163</v>
      </c>
      <c r="F58" s="9" t="s">
        <v>309</v>
      </c>
      <c r="G58" s="10" t="s">
        <v>153</v>
      </c>
      <c r="H58" s="9" t="s">
        <v>310</v>
      </c>
      <c r="I58" s="11" t="s">
        <v>75</v>
      </c>
    </row>
    <row r="59" customFormat="false" ht="23.85" hidden="false" customHeight="false" outlineLevel="0" collapsed="false">
      <c r="A59" s="9" t="s">
        <v>76</v>
      </c>
      <c r="B59" s="9" t="s">
        <v>311</v>
      </c>
      <c r="C59" s="10" t="s">
        <v>312</v>
      </c>
      <c r="D59" s="10" t="s">
        <v>249</v>
      </c>
      <c r="E59" s="9" t="s">
        <v>173</v>
      </c>
      <c r="F59" s="9" t="s">
        <v>299</v>
      </c>
      <c r="G59" s="10" t="s">
        <v>153</v>
      </c>
      <c r="H59" s="9" t="s">
        <v>313</v>
      </c>
      <c r="I59" s="12" t="s">
        <v>83</v>
      </c>
    </row>
    <row r="60" customFormat="false" ht="23.85" hidden="false" customHeight="false" outlineLevel="0" collapsed="false">
      <c r="A60" s="9" t="s">
        <v>76</v>
      </c>
      <c r="B60" s="9" t="s">
        <v>314</v>
      </c>
      <c r="C60" s="10" t="s">
        <v>315</v>
      </c>
      <c r="D60" s="10" t="s">
        <v>253</v>
      </c>
      <c r="E60" s="9" t="s">
        <v>179</v>
      </c>
      <c r="F60" s="9" t="s">
        <v>299</v>
      </c>
      <c r="G60" s="10" t="s">
        <v>153</v>
      </c>
      <c r="H60" s="9" t="s">
        <v>316</v>
      </c>
      <c r="I60" s="12" t="s">
        <v>83</v>
      </c>
    </row>
    <row r="61" customFormat="false" ht="15" hidden="false" customHeight="false" outlineLevel="0" collapsed="false">
      <c r="A61" s="9" t="s">
        <v>76</v>
      </c>
      <c r="B61" s="9" t="s">
        <v>317</v>
      </c>
      <c r="C61" s="10" t="s">
        <v>318</v>
      </c>
      <c r="D61" s="10" t="s">
        <v>182</v>
      </c>
      <c r="E61" s="9" t="s">
        <v>183</v>
      </c>
      <c r="F61" s="9" t="s">
        <v>282</v>
      </c>
      <c r="G61" s="10" t="s">
        <v>73</v>
      </c>
      <c r="H61" s="9" t="s">
        <v>319</v>
      </c>
      <c r="I61" s="12" t="s">
        <v>83</v>
      </c>
    </row>
    <row r="62" customFormat="false" ht="15" hidden="false" customHeight="false" outlineLevel="0" collapsed="false">
      <c r="A62" s="9" t="s">
        <v>76</v>
      </c>
      <c r="B62" s="9" t="s">
        <v>320</v>
      </c>
      <c r="C62" s="10" t="s">
        <v>321</v>
      </c>
      <c r="D62" s="10" t="s">
        <v>187</v>
      </c>
      <c r="E62" s="9" t="s">
        <v>183</v>
      </c>
      <c r="F62" s="9" t="s">
        <v>282</v>
      </c>
      <c r="G62" s="10" t="s">
        <v>73</v>
      </c>
      <c r="H62" s="9" t="s">
        <v>322</v>
      </c>
      <c r="I62" s="12" t="s">
        <v>83</v>
      </c>
    </row>
    <row r="63" customFormat="false" ht="23.85" hidden="false" customHeight="false" outlineLevel="0" collapsed="false">
      <c r="A63" s="9" t="s">
        <v>67</v>
      </c>
      <c r="B63" s="9" t="s">
        <v>289</v>
      </c>
      <c r="C63" s="10" t="s">
        <v>323</v>
      </c>
      <c r="D63" s="10" t="s">
        <v>261</v>
      </c>
      <c r="E63" s="9" t="s">
        <v>191</v>
      </c>
      <c r="F63" s="9" t="s">
        <v>282</v>
      </c>
      <c r="G63" s="10" t="s">
        <v>153</v>
      </c>
      <c r="H63" s="9" t="s">
        <v>324</v>
      </c>
      <c r="I63" s="11" t="s">
        <v>75</v>
      </c>
    </row>
    <row r="64" customFormat="false" ht="23.85" hidden="false" customHeight="false" outlineLevel="0" collapsed="false">
      <c r="A64" s="9" t="s">
        <v>76</v>
      </c>
      <c r="B64" s="9" t="s">
        <v>325</v>
      </c>
      <c r="C64" s="10" t="s">
        <v>326</v>
      </c>
      <c r="D64" s="10" t="s">
        <v>197</v>
      </c>
      <c r="E64" s="9" t="s">
        <v>179</v>
      </c>
      <c r="F64" s="9" t="s">
        <v>282</v>
      </c>
      <c r="G64" s="10" t="s">
        <v>153</v>
      </c>
      <c r="H64" s="9" t="s">
        <v>327</v>
      </c>
      <c r="I64" s="12" t="s">
        <v>83</v>
      </c>
    </row>
    <row r="65" customFormat="false" ht="23.85" hidden="false" customHeight="false" outlineLevel="0" collapsed="false">
      <c r="A65" s="9" t="s">
        <v>67</v>
      </c>
      <c r="B65" s="9" t="s">
        <v>297</v>
      </c>
      <c r="C65" s="10" t="s">
        <v>328</v>
      </c>
      <c r="D65" s="10" t="s">
        <v>268</v>
      </c>
      <c r="E65" s="9" t="s">
        <v>173</v>
      </c>
      <c r="F65" s="9" t="s">
        <v>282</v>
      </c>
      <c r="G65" s="10" t="s">
        <v>201</v>
      </c>
      <c r="H65" s="9" t="s">
        <v>329</v>
      </c>
      <c r="I65" s="11" t="s">
        <v>75</v>
      </c>
    </row>
    <row r="66" customFormat="false" ht="23.85" hidden="false" customHeight="false" outlineLevel="0" collapsed="false">
      <c r="A66" s="9" t="s">
        <v>67</v>
      </c>
      <c r="B66" s="9" t="s">
        <v>303</v>
      </c>
      <c r="C66" s="10" t="s">
        <v>330</v>
      </c>
      <c r="D66" s="10" t="s">
        <v>331</v>
      </c>
      <c r="E66" s="9" t="s">
        <v>173</v>
      </c>
      <c r="F66" s="9" t="s">
        <v>282</v>
      </c>
      <c r="G66" s="10" t="s">
        <v>201</v>
      </c>
      <c r="H66" s="9" t="s">
        <v>332</v>
      </c>
      <c r="I66" s="11" t="s">
        <v>75</v>
      </c>
    </row>
    <row r="67" customFormat="false" ht="23.85" hidden="false" customHeight="false" outlineLevel="0" collapsed="false">
      <c r="A67" s="9" t="s">
        <v>76</v>
      </c>
      <c r="B67" s="9" t="s">
        <v>333</v>
      </c>
      <c r="C67" s="10" t="s">
        <v>334</v>
      </c>
      <c r="D67" s="10" t="s">
        <v>205</v>
      </c>
      <c r="E67" s="9" t="s">
        <v>173</v>
      </c>
      <c r="F67" s="9" t="s">
        <v>282</v>
      </c>
      <c r="G67" s="10" t="s">
        <v>335</v>
      </c>
      <c r="H67" s="9" t="s">
        <v>336</v>
      </c>
      <c r="I67" s="12" t="s">
        <v>83</v>
      </c>
    </row>
    <row r="68" customFormat="false" ht="23.85" hidden="false" customHeight="false" outlineLevel="0" collapsed="false">
      <c r="A68" s="9" t="s">
        <v>76</v>
      </c>
      <c r="B68" s="9" t="s">
        <v>337</v>
      </c>
      <c r="C68" s="10" t="s">
        <v>338</v>
      </c>
      <c r="D68" s="10" t="s">
        <v>278</v>
      </c>
      <c r="E68" s="9" t="s">
        <v>179</v>
      </c>
      <c r="F68" s="9" t="s">
        <v>282</v>
      </c>
      <c r="G68" s="10" t="s">
        <v>193</v>
      </c>
      <c r="H68" s="9" t="s">
        <v>339</v>
      </c>
      <c r="I68" s="12" t="s">
        <v>83</v>
      </c>
    </row>
    <row r="69" customFormat="false" ht="23.85" hidden="false" customHeight="false" outlineLevel="0" collapsed="false">
      <c r="A69" s="9" t="s">
        <v>76</v>
      </c>
      <c r="B69" s="9" t="s">
        <v>340</v>
      </c>
      <c r="C69" s="10" t="s">
        <v>341</v>
      </c>
      <c r="D69" s="10" t="s">
        <v>136</v>
      </c>
      <c r="E69" s="9" t="s">
        <v>137</v>
      </c>
      <c r="F69" s="9" t="s">
        <v>342</v>
      </c>
      <c r="G69" s="10" t="s">
        <v>73</v>
      </c>
      <c r="H69" s="9" t="s">
        <v>343</v>
      </c>
      <c r="I69" s="12" t="s">
        <v>83</v>
      </c>
    </row>
    <row r="70" customFormat="false" ht="15" hidden="false" customHeight="false" outlineLevel="0" collapsed="false">
      <c r="A70" s="9" t="s">
        <v>76</v>
      </c>
      <c r="B70" s="9" t="s">
        <v>344</v>
      </c>
      <c r="C70" s="10" t="s">
        <v>345</v>
      </c>
      <c r="D70" s="10" t="s">
        <v>142</v>
      </c>
      <c r="E70" s="9" t="s">
        <v>143</v>
      </c>
      <c r="F70" s="9" t="s">
        <v>342</v>
      </c>
      <c r="G70" s="10" t="s">
        <v>73</v>
      </c>
      <c r="H70" s="9" t="s">
        <v>343</v>
      </c>
      <c r="I70" s="12" t="s">
        <v>83</v>
      </c>
    </row>
    <row r="71" customFormat="false" ht="23.85" hidden="false" customHeight="false" outlineLevel="0" collapsed="false">
      <c r="A71" s="9" t="s">
        <v>76</v>
      </c>
      <c r="B71" s="9" t="s">
        <v>346</v>
      </c>
      <c r="C71" s="10" t="s">
        <v>347</v>
      </c>
      <c r="D71" s="10" t="s">
        <v>146</v>
      </c>
      <c r="E71" s="9" t="s">
        <v>143</v>
      </c>
      <c r="F71" s="9" t="s">
        <v>342</v>
      </c>
      <c r="G71" s="10" t="s">
        <v>73</v>
      </c>
      <c r="H71" s="9" t="s">
        <v>348</v>
      </c>
      <c r="I71" s="12" t="s">
        <v>83</v>
      </c>
    </row>
    <row r="72" customFormat="false" ht="23.85" hidden="false" customHeight="false" outlineLevel="0" collapsed="false">
      <c r="A72" s="9" t="s">
        <v>76</v>
      </c>
      <c r="B72" s="9" t="s">
        <v>349</v>
      </c>
      <c r="C72" s="10" t="s">
        <v>350</v>
      </c>
      <c r="D72" s="10" t="s">
        <v>219</v>
      </c>
      <c r="E72" s="9" t="s">
        <v>158</v>
      </c>
      <c r="F72" s="9" t="s">
        <v>351</v>
      </c>
      <c r="G72" s="10" t="s">
        <v>153</v>
      </c>
      <c r="H72" s="9" t="s">
        <v>352</v>
      </c>
      <c r="I72" s="12" t="s">
        <v>83</v>
      </c>
    </row>
    <row r="73" customFormat="false" ht="23.85" hidden="false" customHeight="false" outlineLevel="0" collapsed="false">
      <c r="A73" s="9" t="s">
        <v>67</v>
      </c>
      <c r="B73" s="9" t="s">
        <v>340</v>
      </c>
      <c r="C73" s="10" t="s">
        <v>353</v>
      </c>
      <c r="D73" s="10" t="s">
        <v>223</v>
      </c>
      <c r="E73" s="9" t="s">
        <v>354</v>
      </c>
      <c r="F73" s="9" t="s">
        <v>355</v>
      </c>
      <c r="G73" s="10" t="s">
        <v>153</v>
      </c>
      <c r="H73" s="9" t="s">
        <v>356</v>
      </c>
      <c r="I73" s="11" t="s">
        <v>75</v>
      </c>
    </row>
    <row r="74" customFormat="false" ht="23.85" hidden="false" customHeight="false" outlineLevel="0" collapsed="false">
      <c r="A74" s="9" t="s">
        <v>76</v>
      </c>
      <c r="B74" s="9" t="s">
        <v>357</v>
      </c>
      <c r="C74" s="10" t="s">
        <v>358</v>
      </c>
      <c r="D74" s="10" t="s">
        <v>229</v>
      </c>
      <c r="E74" s="9" t="s">
        <v>151</v>
      </c>
      <c r="F74" s="9" t="s">
        <v>359</v>
      </c>
      <c r="G74" s="10" t="s">
        <v>153</v>
      </c>
      <c r="H74" s="9" t="s">
        <v>356</v>
      </c>
      <c r="I74" s="12" t="s">
        <v>83</v>
      </c>
    </row>
    <row r="75" customFormat="false" ht="23.85" hidden="false" customHeight="false" outlineLevel="0" collapsed="false">
      <c r="A75" s="9" t="s">
        <v>76</v>
      </c>
      <c r="B75" s="9" t="s">
        <v>360</v>
      </c>
      <c r="C75" s="10" t="s">
        <v>361</v>
      </c>
      <c r="D75" s="10" t="s">
        <v>219</v>
      </c>
      <c r="E75" s="9" t="s">
        <v>158</v>
      </c>
      <c r="F75" s="9" t="s">
        <v>362</v>
      </c>
      <c r="G75" s="10" t="s">
        <v>153</v>
      </c>
      <c r="H75" s="9" t="s">
        <v>363</v>
      </c>
      <c r="I75" s="12" t="s">
        <v>83</v>
      </c>
    </row>
    <row r="76" customFormat="false" ht="23.85" hidden="false" customHeight="false" outlineLevel="0" collapsed="false">
      <c r="A76" s="9" t="s">
        <v>67</v>
      </c>
      <c r="B76" s="9" t="s">
        <v>344</v>
      </c>
      <c r="C76" s="10" t="s">
        <v>364</v>
      </c>
      <c r="D76" s="10" t="s">
        <v>223</v>
      </c>
      <c r="E76" s="9" t="s">
        <v>365</v>
      </c>
      <c r="F76" s="9" t="s">
        <v>366</v>
      </c>
      <c r="G76" s="10" t="s">
        <v>153</v>
      </c>
      <c r="H76" s="9" t="s">
        <v>367</v>
      </c>
      <c r="I76" s="11" t="s">
        <v>75</v>
      </c>
    </row>
    <row r="77" customFormat="false" ht="23.85" hidden="false" customHeight="false" outlineLevel="0" collapsed="false">
      <c r="A77" s="9" t="s">
        <v>76</v>
      </c>
      <c r="B77" s="9" t="s">
        <v>368</v>
      </c>
      <c r="C77" s="10" t="s">
        <v>369</v>
      </c>
      <c r="D77" s="10" t="s">
        <v>370</v>
      </c>
      <c r="E77" s="9" t="s">
        <v>371</v>
      </c>
      <c r="F77" s="9" t="s">
        <v>359</v>
      </c>
      <c r="G77" s="10" t="s">
        <v>153</v>
      </c>
      <c r="H77" s="9" t="s">
        <v>372</v>
      </c>
      <c r="I77" s="12" t="s">
        <v>83</v>
      </c>
    </row>
    <row r="78" customFormat="false" ht="23.85" hidden="false" customHeight="false" outlineLevel="0" collapsed="false">
      <c r="A78" s="9" t="s">
        <v>76</v>
      </c>
      <c r="B78" s="9" t="s">
        <v>373</v>
      </c>
      <c r="C78" s="10" t="s">
        <v>374</v>
      </c>
      <c r="D78" s="10" t="s">
        <v>219</v>
      </c>
      <c r="E78" s="9" t="s">
        <v>158</v>
      </c>
      <c r="F78" s="9" t="s">
        <v>375</v>
      </c>
      <c r="G78" s="10" t="s">
        <v>153</v>
      </c>
      <c r="H78" s="9" t="s">
        <v>376</v>
      </c>
      <c r="I78" s="12" t="s">
        <v>83</v>
      </c>
    </row>
    <row r="79" customFormat="false" ht="23.85" hidden="false" customHeight="false" outlineLevel="0" collapsed="false">
      <c r="A79" s="9" t="s">
        <v>67</v>
      </c>
      <c r="B79" s="9" t="s">
        <v>346</v>
      </c>
      <c r="C79" s="10" t="s">
        <v>377</v>
      </c>
      <c r="D79" s="10" t="s">
        <v>378</v>
      </c>
      <c r="E79" s="9" t="s">
        <v>379</v>
      </c>
      <c r="F79" s="9" t="s">
        <v>380</v>
      </c>
      <c r="G79" s="10" t="s">
        <v>153</v>
      </c>
      <c r="H79" s="9" t="s">
        <v>376</v>
      </c>
      <c r="I79" s="11" t="s">
        <v>75</v>
      </c>
    </row>
    <row r="80" customFormat="false" ht="23.85" hidden="false" customHeight="false" outlineLevel="0" collapsed="false">
      <c r="A80" s="9" t="s">
        <v>76</v>
      </c>
      <c r="B80" s="9" t="s">
        <v>381</v>
      </c>
      <c r="C80" s="10" t="s">
        <v>382</v>
      </c>
      <c r="D80" s="10" t="s">
        <v>219</v>
      </c>
      <c r="E80" s="9" t="s">
        <v>158</v>
      </c>
      <c r="F80" s="9" t="s">
        <v>383</v>
      </c>
      <c r="G80" s="10" t="s">
        <v>153</v>
      </c>
      <c r="H80" s="9" t="s">
        <v>384</v>
      </c>
      <c r="I80" s="12" t="s">
        <v>83</v>
      </c>
    </row>
    <row r="81" customFormat="false" ht="23.85" hidden="false" customHeight="false" outlineLevel="0" collapsed="false">
      <c r="A81" s="9" t="s">
        <v>67</v>
      </c>
      <c r="B81" s="9" t="s">
        <v>349</v>
      </c>
      <c r="C81" s="10" t="s">
        <v>385</v>
      </c>
      <c r="D81" s="10" t="s">
        <v>378</v>
      </c>
      <c r="E81" s="9" t="s">
        <v>386</v>
      </c>
      <c r="F81" s="9" t="s">
        <v>387</v>
      </c>
      <c r="G81" s="10" t="s">
        <v>153</v>
      </c>
      <c r="H81" s="9" t="s">
        <v>388</v>
      </c>
      <c r="I81" s="11" t="s">
        <v>75</v>
      </c>
    </row>
    <row r="82" customFormat="false" ht="23.85" hidden="false" customHeight="false" outlineLevel="0" collapsed="false">
      <c r="A82" s="9" t="s">
        <v>67</v>
      </c>
      <c r="B82" s="9" t="s">
        <v>357</v>
      </c>
      <c r="C82" s="10" t="s">
        <v>389</v>
      </c>
      <c r="D82" s="10" t="s">
        <v>240</v>
      </c>
      <c r="E82" s="9" t="s">
        <v>179</v>
      </c>
      <c r="F82" s="9" t="s">
        <v>390</v>
      </c>
      <c r="G82" s="10" t="s">
        <v>153</v>
      </c>
      <c r="H82" s="9" t="s">
        <v>388</v>
      </c>
      <c r="I82" s="11" t="s">
        <v>75</v>
      </c>
    </row>
    <row r="83" customFormat="false" ht="23.85" hidden="false" customHeight="false" outlineLevel="0" collapsed="false">
      <c r="A83" s="9" t="s">
        <v>76</v>
      </c>
      <c r="B83" s="9" t="s">
        <v>391</v>
      </c>
      <c r="C83" s="10" t="s">
        <v>392</v>
      </c>
      <c r="D83" s="10" t="s">
        <v>249</v>
      </c>
      <c r="E83" s="9" t="s">
        <v>173</v>
      </c>
      <c r="F83" s="9" t="s">
        <v>359</v>
      </c>
      <c r="G83" s="10" t="s">
        <v>153</v>
      </c>
      <c r="H83" s="9" t="s">
        <v>393</v>
      </c>
      <c r="I83" s="12" t="s">
        <v>83</v>
      </c>
    </row>
    <row r="84" customFormat="false" ht="23.85" hidden="false" customHeight="false" outlineLevel="0" collapsed="false">
      <c r="A84" s="9" t="s">
        <v>76</v>
      </c>
      <c r="B84" s="9" t="s">
        <v>394</v>
      </c>
      <c r="C84" s="10" t="s">
        <v>395</v>
      </c>
      <c r="D84" s="10" t="s">
        <v>253</v>
      </c>
      <c r="E84" s="9" t="s">
        <v>179</v>
      </c>
      <c r="F84" s="9" t="s">
        <v>359</v>
      </c>
      <c r="G84" s="10" t="s">
        <v>153</v>
      </c>
      <c r="H84" s="9" t="s">
        <v>396</v>
      </c>
      <c r="I84" s="12" t="s">
        <v>83</v>
      </c>
    </row>
    <row r="85" customFormat="false" ht="15" hidden="false" customHeight="false" outlineLevel="0" collapsed="false">
      <c r="A85" s="9" t="s">
        <v>76</v>
      </c>
      <c r="B85" s="9" t="s">
        <v>397</v>
      </c>
      <c r="C85" s="10" t="s">
        <v>398</v>
      </c>
      <c r="D85" s="10" t="s">
        <v>182</v>
      </c>
      <c r="E85" s="9" t="s">
        <v>183</v>
      </c>
      <c r="F85" s="9" t="s">
        <v>390</v>
      </c>
      <c r="G85" s="10" t="s">
        <v>73</v>
      </c>
      <c r="H85" s="9" t="s">
        <v>399</v>
      </c>
      <c r="I85" s="12" t="s">
        <v>83</v>
      </c>
    </row>
    <row r="86" customFormat="false" ht="15" hidden="false" customHeight="false" outlineLevel="0" collapsed="false">
      <c r="A86" s="9" t="s">
        <v>76</v>
      </c>
      <c r="B86" s="9" t="s">
        <v>400</v>
      </c>
      <c r="C86" s="10" t="s">
        <v>401</v>
      </c>
      <c r="D86" s="10" t="s">
        <v>187</v>
      </c>
      <c r="E86" s="9" t="s">
        <v>183</v>
      </c>
      <c r="F86" s="9" t="s">
        <v>390</v>
      </c>
      <c r="G86" s="10" t="s">
        <v>73</v>
      </c>
      <c r="H86" s="9" t="s">
        <v>399</v>
      </c>
      <c r="I86" s="12" t="s">
        <v>83</v>
      </c>
    </row>
    <row r="87" customFormat="false" ht="23.85" hidden="false" customHeight="false" outlineLevel="0" collapsed="false">
      <c r="A87" s="9" t="s">
        <v>67</v>
      </c>
      <c r="B87" s="9" t="s">
        <v>360</v>
      </c>
      <c r="C87" s="10" t="s">
        <v>402</v>
      </c>
      <c r="D87" s="10" t="s">
        <v>261</v>
      </c>
      <c r="E87" s="9" t="s">
        <v>191</v>
      </c>
      <c r="F87" s="9" t="s">
        <v>390</v>
      </c>
      <c r="G87" s="10" t="s">
        <v>153</v>
      </c>
      <c r="H87" s="9" t="s">
        <v>403</v>
      </c>
      <c r="I87" s="11" t="s">
        <v>75</v>
      </c>
    </row>
    <row r="88" customFormat="false" ht="23.85" hidden="false" customHeight="false" outlineLevel="0" collapsed="false">
      <c r="A88" s="9" t="s">
        <v>76</v>
      </c>
      <c r="B88" s="9" t="s">
        <v>404</v>
      </c>
      <c r="C88" s="10" t="s">
        <v>405</v>
      </c>
      <c r="D88" s="10" t="s">
        <v>197</v>
      </c>
      <c r="E88" s="9" t="s">
        <v>179</v>
      </c>
      <c r="F88" s="9" t="s">
        <v>390</v>
      </c>
      <c r="G88" s="10" t="s">
        <v>153</v>
      </c>
      <c r="H88" s="9" t="s">
        <v>406</v>
      </c>
      <c r="I88" s="12" t="s">
        <v>83</v>
      </c>
    </row>
    <row r="89" customFormat="false" ht="23.85" hidden="false" customHeight="false" outlineLevel="0" collapsed="false">
      <c r="A89" s="9" t="s">
        <v>67</v>
      </c>
      <c r="B89" s="9" t="s">
        <v>368</v>
      </c>
      <c r="C89" s="10" t="s">
        <v>407</v>
      </c>
      <c r="D89" s="10" t="s">
        <v>408</v>
      </c>
      <c r="E89" s="9" t="s">
        <v>409</v>
      </c>
      <c r="F89" s="9" t="s">
        <v>390</v>
      </c>
      <c r="G89" s="10" t="s">
        <v>153</v>
      </c>
      <c r="H89" s="9" t="s">
        <v>410</v>
      </c>
      <c r="I89" s="11" t="s">
        <v>75</v>
      </c>
    </row>
    <row r="90" customFormat="false" ht="23.85" hidden="false" customHeight="false" outlineLevel="0" collapsed="false">
      <c r="A90" s="9" t="s">
        <v>67</v>
      </c>
      <c r="B90" s="9" t="s">
        <v>373</v>
      </c>
      <c r="C90" s="10" t="s">
        <v>411</v>
      </c>
      <c r="D90" s="10" t="s">
        <v>268</v>
      </c>
      <c r="E90" s="9" t="s">
        <v>173</v>
      </c>
      <c r="F90" s="9" t="s">
        <v>390</v>
      </c>
      <c r="G90" s="10" t="s">
        <v>201</v>
      </c>
      <c r="H90" s="9" t="s">
        <v>412</v>
      </c>
      <c r="I90" s="11" t="s">
        <v>75</v>
      </c>
    </row>
    <row r="91" customFormat="false" ht="15" hidden="false" customHeight="false" outlineLevel="0" collapsed="false">
      <c r="A91" s="9" t="s">
        <v>76</v>
      </c>
      <c r="B91" s="9" t="s">
        <v>413</v>
      </c>
      <c r="C91" s="10" t="s">
        <v>414</v>
      </c>
      <c r="D91" s="10" t="s">
        <v>415</v>
      </c>
      <c r="E91" s="9" t="s">
        <v>416</v>
      </c>
      <c r="F91" s="9" t="s">
        <v>342</v>
      </c>
      <c r="G91" s="10" t="s">
        <v>417</v>
      </c>
      <c r="H91" s="9" t="s">
        <v>418</v>
      </c>
      <c r="I91" s="12" t="s">
        <v>83</v>
      </c>
    </row>
    <row r="92" customFormat="false" ht="23.85" hidden="false" customHeight="false" outlineLevel="0" collapsed="false">
      <c r="A92" s="9" t="s">
        <v>67</v>
      </c>
      <c r="B92" s="9" t="s">
        <v>381</v>
      </c>
      <c r="C92" s="10" t="s">
        <v>419</v>
      </c>
      <c r="D92" s="10" t="s">
        <v>331</v>
      </c>
      <c r="E92" s="9" t="s">
        <v>173</v>
      </c>
      <c r="F92" s="9" t="s">
        <v>390</v>
      </c>
      <c r="G92" s="10" t="s">
        <v>201</v>
      </c>
      <c r="H92" s="9" t="s">
        <v>420</v>
      </c>
      <c r="I92" s="11" t="s">
        <v>75</v>
      </c>
    </row>
    <row r="93" customFormat="false" ht="23.85" hidden="false" customHeight="false" outlineLevel="0" collapsed="false">
      <c r="A93" s="9" t="s">
        <v>76</v>
      </c>
      <c r="B93" s="9" t="s">
        <v>421</v>
      </c>
      <c r="C93" s="10" t="s">
        <v>422</v>
      </c>
      <c r="D93" s="10" t="s">
        <v>205</v>
      </c>
      <c r="E93" s="9" t="s">
        <v>173</v>
      </c>
      <c r="F93" s="9" t="s">
        <v>390</v>
      </c>
      <c r="G93" s="10" t="s">
        <v>335</v>
      </c>
      <c r="H93" s="9" t="s">
        <v>423</v>
      </c>
      <c r="I93" s="12" t="s">
        <v>83</v>
      </c>
    </row>
    <row r="94" customFormat="false" ht="23.85" hidden="false" customHeight="false" outlineLevel="0" collapsed="false">
      <c r="A94" s="9" t="s">
        <v>76</v>
      </c>
      <c r="B94" s="9" t="s">
        <v>424</v>
      </c>
      <c r="C94" s="10" t="s">
        <v>425</v>
      </c>
      <c r="D94" s="10" t="s">
        <v>278</v>
      </c>
      <c r="E94" s="9" t="s">
        <v>426</v>
      </c>
      <c r="F94" s="9" t="s">
        <v>390</v>
      </c>
      <c r="G94" s="10" t="s">
        <v>193</v>
      </c>
      <c r="H94" s="9" t="s">
        <v>427</v>
      </c>
      <c r="I94" s="12" t="s">
        <v>83</v>
      </c>
    </row>
    <row r="95" customFormat="false" ht="23.85" hidden="false" customHeight="false" outlineLevel="0" collapsed="false">
      <c r="A95" s="9" t="s">
        <v>67</v>
      </c>
      <c r="B95" s="9" t="s">
        <v>428</v>
      </c>
      <c r="C95" s="10" t="s">
        <v>429</v>
      </c>
      <c r="D95" s="10" t="s">
        <v>430</v>
      </c>
      <c r="E95" s="9" t="s">
        <v>431</v>
      </c>
      <c r="F95" s="9" t="s">
        <v>432</v>
      </c>
      <c r="G95" s="10" t="s">
        <v>101</v>
      </c>
      <c r="H95" s="9" t="s">
        <v>433</v>
      </c>
      <c r="I95" s="11" t="s">
        <v>75</v>
      </c>
    </row>
    <row r="96" customFormat="false" ht="15" hidden="false" customHeight="false" outlineLevel="0" collapsed="false">
      <c r="A96" s="9" t="s">
        <v>67</v>
      </c>
      <c r="B96" s="9" t="s">
        <v>434</v>
      </c>
      <c r="C96" s="10" t="s">
        <v>435</v>
      </c>
      <c r="D96" s="10" t="s">
        <v>436</v>
      </c>
      <c r="E96" s="9" t="s">
        <v>437</v>
      </c>
      <c r="F96" s="9" t="s">
        <v>438</v>
      </c>
      <c r="G96" s="10" t="s">
        <v>439</v>
      </c>
      <c r="H96" s="9" t="s">
        <v>440</v>
      </c>
      <c r="I96" s="9" t="s">
        <v>441</v>
      </c>
    </row>
    <row r="97" customFormat="false" ht="15" hidden="false" customHeight="false" outlineLevel="0" collapsed="false">
      <c r="A97" s="9" t="s">
        <v>67</v>
      </c>
      <c r="B97" s="9" t="s">
        <v>442</v>
      </c>
      <c r="C97" s="10" t="s">
        <v>443</v>
      </c>
      <c r="D97" s="10" t="s">
        <v>444</v>
      </c>
      <c r="E97" s="9" t="s">
        <v>431</v>
      </c>
      <c r="F97" s="9" t="s">
        <v>438</v>
      </c>
      <c r="G97" s="10" t="s">
        <v>445</v>
      </c>
      <c r="H97" s="9" t="s">
        <v>446</v>
      </c>
      <c r="I97" s="11" t="s">
        <v>75</v>
      </c>
    </row>
    <row r="98" customFormat="false" ht="15" hidden="false" customHeight="false" outlineLevel="0" collapsed="false">
      <c r="A98" s="9" t="s">
        <v>67</v>
      </c>
      <c r="B98" s="9" t="s">
        <v>447</v>
      </c>
      <c r="C98" s="10" t="s">
        <v>448</v>
      </c>
      <c r="D98" s="10" t="s">
        <v>449</v>
      </c>
      <c r="E98" s="9" t="s">
        <v>173</v>
      </c>
      <c r="F98" s="9" t="s">
        <v>438</v>
      </c>
      <c r="G98" s="10" t="s">
        <v>450</v>
      </c>
      <c r="H98" s="9" t="s">
        <v>451</v>
      </c>
      <c r="I98" s="11" t="s">
        <v>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46"/>
    <col collapsed="false" customWidth="true" hidden="false" outlineLevel="0" max="4" min="4" style="0" width="40"/>
  </cols>
  <sheetData>
    <row r="1" customFormat="false" ht="16.15" hidden="false" customHeight="false" outlineLevel="0" collapsed="false">
      <c r="A1" s="4" t="s">
        <v>452</v>
      </c>
    </row>
    <row r="3" customFormat="false" ht="15" hidden="false" customHeight="false" outlineLevel="0" collapsed="false">
      <c r="A3" s="8" t="s">
        <v>453</v>
      </c>
      <c r="B3" s="8" t="s">
        <v>454</v>
      </c>
      <c r="C3" s="8" t="s">
        <v>455</v>
      </c>
      <c r="D3" s="8" t="s">
        <v>456</v>
      </c>
    </row>
    <row r="4" customFormat="false" ht="78" hidden="false" customHeight="true" outlineLevel="0" collapsed="false">
      <c r="A4" s="13" t="s">
        <v>457</v>
      </c>
      <c r="B4" s="10" t="s">
        <v>458</v>
      </c>
      <c r="C4" s="10" t="s">
        <v>459</v>
      </c>
      <c r="D4" s="10" t="s">
        <v>460</v>
      </c>
    </row>
    <row r="5" customFormat="false" ht="78" hidden="false" customHeight="true" outlineLevel="0" collapsed="false">
      <c r="A5" s="10" t="s">
        <v>461</v>
      </c>
      <c r="B5" s="10" t="s">
        <v>462</v>
      </c>
      <c r="C5" s="10" t="s">
        <v>463</v>
      </c>
      <c r="D5" s="10" t="s">
        <v>464</v>
      </c>
    </row>
    <row r="6" customFormat="false" ht="78" hidden="false" customHeight="true" outlineLevel="0" collapsed="false">
      <c r="A6" s="10" t="s">
        <v>201</v>
      </c>
      <c r="B6" s="10" t="s">
        <v>465</v>
      </c>
      <c r="C6" s="10" t="s">
        <v>466</v>
      </c>
      <c r="D6" s="10" t="s">
        <v>467</v>
      </c>
    </row>
    <row r="7" customFormat="false" ht="78" hidden="false" customHeight="true" outlineLevel="0" collapsed="false">
      <c r="A7" s="10" t="s">
        <v>468</v>
      </c>
      <c r="B7" s="10" t="s">
        <v>469</v>
      </c>
      <c r="C7" s="10" t="s">
        <v>470</v>
      </c>
      <c r="D7" s="10" t="s">
        <v>471</v>
      </c>
    </row>
    <row r="8" customFormat="false" ht="78" hidden="false" customHeight="true" outlineLevel="0" collapsed="false">
      <c r="A8" s="10" t="s">
        <v>472</v>
      </c>
      <c r="B8" s="10" t="s">
        <v>473</v>
      </c>
      <c r="C8" s="10" t="s">
        <v>474</v>
      </c>
      <c r="D8" s="10" t="s">
        <v>475</v>
      </c>
    </row>
    <row r="9" customFormat="false" ht="78" hidden="false" customHeight="true" outlineLevel="0" collapsed="false">
      <c r="A9" s="10" t="s">
        <v>476</v>
      </c>
      <c r="B9" s="10" t="s">
        <v>477</v>
      </c>
      <c r="C9" s="10" t="s">
        <v>478</v>
      </c>
      <c r="D9" s="10" t="s">
        <v>479</v>
      </c>
    </row>
    <row r="10" customFormat="false" ht="78" hidden="false" customHeight="true" outlineLevel="0" collapsed="false">
      <c r="A10" s="10" t="s">
        <v>480</v>
      </c>
      <c r="B10" s="10" t="s">
        <v>481</v>
      </c>
      <c r="C10" s="10" t="s">
        <v>482</v>
      </c>
      <c r="D10" s="10" t="s">
        <v>483</v>
      </c>
    </row>
    <row r="11" customFormat="false" ht="78" hidden="false" customHeight="true" outlineLevel="0" collapsed="false">
      <c r="A11" s="10" t="s">
        <v>484</v>
      </c>
      <c r="B11" s="10" t="s">
        <v>485</v>
      </c>
      <c r="C11" s="10" t="s">
        <v>486</v>
      </c>
      <c r="D11" s="10" t="s">
        <v>487</v>
      </c>
    </row>
    <row r="12" customFormat="false" ht="78" hidden="false" customHeight="true" outlineLevel="0" collapsed="false">
      <c r="A12" s="10" t="s">
        <v>488</v>
      </c>
      <c r="B12" s="10" t="s">
        <v>489</v>
      </c>
      <c r="C12" s="10" t="s">
        <v>490</v>
      </c>
      <c r="D12" s="10" t="s">
        <v>491</v>
      </c>
    </row>
    <row r="13" customFormat="false" ht="78" hidden="false" customHeight="true" outlineLevel="0" collapsed="false">
      <c r="A13" s="10" t="s">
        <v>492</v>
      </c>
      <c r="B13" s="10" t="s">
        <v>493</v>
      </c>
      <c r="C13" s="10" t="s">
        <v>494</v>
      </c>
      <c r="D13" s="10" t="s">
        <v>495</v>
      </c>
    </row>
    <row r="14" customFormat="false" ht="78" hidden="false" customHeight="true" outlineLevel="0" collapsed="false">
      <c r="A14" s="10" t="s">
        <v>496</v>
      </c>
      <c r="B14" s="10" t="s">
        <v>497</v>
      </c>
      <c r="C14" s="10" t="s">
        <v>498</v>
      </c>
      <c r="D14" s="10" t="s">
        <v>499</v>
      </c>
    </row>
    <row r="15" customFormat="false" ht="78" hidden="false" customHeight="true" outlineLevel="0" collapsed="false">
      <c r="A15" s="10" t="s">
        <v>500</v>
      </c>
      <c r="B15" s="10" t="s">
        <v>501</v>
      </c>
      <c r="C15" s="10" t="s">
        <v>502</v>
      </c>
      <c r="D15" s="10" t="s">
        <v>503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20"/>
  </cols>
  <sheetData>
    <row r="1" customFormat="false" ht="16.15" hidden="false" customHeight="false" outlineLevel="0" collapsed="false">
      <c r="A1" s="4" t="s">
        <v>504</v>
      </c>
    </row>
    <row r="2" customFormat="false" ht="15" hidden="false" customHeight="false" outlineLevel="0" collapsed="false">
      <c r="A2" s="7" t="s">
        <v>505</v>
      </c>
    </row>
    <row r="4" customFormat="false" ht="39.55" hidden="false" customHeight="false" outlineLevel="0" collapsed="false">
      <c r="A4" s="8" t="s">
        <v>506</v>
      </c>
      <c r="B4" s="8" t="s">
        <v>507</v>
      </c>
      <c r="C4" s="8" t="s">
        <v>508</v>
      </c>
    </row>
    <row r="5" customFormat="false" ht="15" hidden="false" customHeight="false" outlineLevel="0" collapsed="false">
      <c r="A5" s="14" t="n">
        <v>1891</v>
      </c>
      <c r="B5" s="14" t="n">
        <v>3.87</v>
      </c>
      <c r="C5" s="14" t="n">
        <v>151.8</v>
      </c>
    </row>
    <row r="6" customFormat="false" ht="15" hidden="false" customHeight="false" outlineLevel="0" collapsed="false">
      <c r="A6" s="14" t="n">
        <v>1892</v>
      </c>
      <c r="B6" s="14" t="n">
        <v>3.32</v>
      </c>
      <c r="C6" s="14" t="n">
        <v>157.4</v>
      </c>
    </row>
    <row r="7" customFormat="false" ht="15" hidden="false" customHeight="false" outlineLevel="0" collapsed="false">
      <c r="A7" s="14" t="n">
        <v>1893</v>
      </c>
      <c r="B7" s="14" t="n">
        <v>3.24</v>
      </c>
      <c r="C7" s="14" t="n">
        <v>163.1</v>
      </c>
    </row>
    <row r="8" customFormat="false" ht="15" hidden="false" customHeight="false" outlineLevel="0" collapsed="false">
      <c r="A8" s="14" t="n">
        <v>1894</v>
      </c>
      <c r="B8" s="14" t="n">
        <v>3.57</v>
      </c>
      <c r="C8" s="14" t="n">
        <v>168.7</v>
      </c>
    </row>
    <row r="9" customFormat="false" ht="15" hidden="false" customHeight="false" outlineLevel="0" collapsed="false">
      <c r="A9" s="14" t="n">
        <v>1895</v>
      </c>
      <c r="B9" s="14" t="n">
        <v>3.44</v>
      </c>
      <c r="C9" s="14" t="n">
        <v>174.4</v>
      </c>
    </row>
    <row r="10" customFormat="false" ht="15" hidden="false" customHeight="false" outlineLevel="0" collapsed="false">
      <c r="A10" s="14" t="n">
        <v>1896</v>
      </c>
      <c r="B10" s="14" t="n">
        <v>2.96</v>
      </c>
      <c r="C10" s="14" t="n">
        <v>180</v>
      </c>
    </row>
    <row r="11" customFormat="false" ht="15" hidden="false" customHeight="false" outlineLevel="0" collapsed="false">
      <c r="A11" s="14" t="n">
        <v>1897</v>
      </c>
      <c r="B11" s="14" t="n">
        <v>2.91</v>
      </c>
      <c r="C11" s="14" t="n">
        <v>165.1</v>
      </c>
    </row>
    <row r="12" customFormat="false" ht="15" hidden="false" customHeight="false" outlineLevel="0" collapsed="false">
      <c r="A12" s="14" t="n">
        <v>1898</v>
      </c>
      <c r="B12" s="14" t="n">
        <v>2.58</v>
      </c>
      <c r="C12" s="14" t="n">
        <v>150.3</v>
      </c>
    </row>
    <row r="13" customFormat="false" ht="15" hidden="false" customHeight="false" outlineLevel="0" collapsed="false">
      <c r="A13" s="14" t="n">
        <v>1899</v>
      </c>
      <c r="B13" s="14" t="n">
        <v>2.25</v>
      </c>
      <c r="C13" s="14" t="n">
        <v>135.4</v>
      </c>
    </row>
    <row r="15" customFormat="false" ht="153.7" hidden="false" customHeight="false" outlineLevel="0" collapsed="false">
      <c r="A15" s="15" t="s">
        <v>509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2"/>
    <col collapsed="false" customWidth="true" hidden="false" outlineLevel="0" max="4" min="4" style="0" width="10"/>
    <col collapsed="false" customWidth="true" hidden="false" outlineLevel="0" max="5" min="5" style="0" width="16"/>
    <col collapsed="false" customWidth="true" hidden="false" outlineLevel="0" max="6" min="6" style="0" width="18"/>
  </cols>
  <sheetData>
    <row r="1" customFormat="false" ht="16.15" hidden="false" customHeight="false" outlineLevel="0" collapsed="false">
      <c r="A1" s="4" t="s">
        <v>510</v>
      </c>
    </row>
    <row r="3" customFormat="false" ht="15" hidden="false" customHeight="false" outlineLevel="0" collapsed="false">
      <c r="A3" s="16" t="s">
        <v>511</v>
      </c>
    </row>
    <row r="4" customFormat="false" ht="15" hidden="false" customHeight="false" outlineLevel="0" collapsed="false">
      <c r="A4" s="7" t="s">
        <v>512</v>
      </c>
    </row>
    <row r="5" customFormat="false" ht="26.85" hidden="false" customHeight="false" outlineLevel="0" collapsed="false">
      <c r="A5" s="8" t="s">
        <v>513</v>
      </c>
      <c r="B5" s="8" t="s">
        <v>514</v>
      </c>
    </row>
    <row r="6" customFormat="false" ht="15" hidden="false" customHeight="false" outlineLevel="0" collapsed="false">
      <c r="A6" s="9" t="s">
        <v>515</v>
      </c>
      <c r="B6" s="17" t="n">
        <v>7582000</v>
      </c>
    </row>
    <row r="7" customFormat="false" ht="15" hidden="false" customHeight="false" outlineLevel="0" collapsed="false">
      <c r="A7" s="9" t="s">
        <v>516</v>
      </c>
      <c r="B7" s="17" t="n">
        <v>6324400</v>
      </c>
    </row>
    <row r="8" customFormat="false" ht="15" hidden="false" customHeight="false" outlineLevel="0" collapsed="false">
      <c r="A8" s="9" t="s">
        <v>517</v>
      </c>
      <c r="B8" s="17" t="n">
        <v>6593000</v>
      </c>
    </row>
    <row r="9" customFormat="false" ht="15" hidden="false" customHeight="false" outlineLevel="0" collapsed="false">
      <c r="A9" s="9" t="s">
        <v>518</v>
      </c>
      <c r="B9" s="17" t="n">
        <v>375440</v>
      </c>
    </row>
    <row r="10" customFormat="false" ht="15" hidden="false" customHeight="false" outlineLevel="0" collapsed="false">
      <c r="A10" s="9" t="s">
        <v>519</v>
      </c>
      <c r="B10" s="17" t="n">
        <v>166257</v>
      </c>
    </row>
    <row r="11" customFormat="false" ht="15" hidden="false" customHeight="false" outlineLevel="0" collapsed="false">
      <c r="A11" s="9" t="s">
        <v>520</v>
      </c>
      <c r="B11" s="17" t="n">
        <v>1471500</v>
      </c>
    </row>
    <row r="12" customFormat="false" ht="15" hidden="false" customHeight="false" outlineLevel="0" collapsed="false">
      <c r="A12" s="9" t="s">
        <v>521</v>
      </c>
      <c r="B12" s="17" t="n">
        <v>3768100</v>
      </c>
    </row>
    <row r="13" customFormat="false" ht="15" hidden="false" customHeight="false" outlineLevel="0" collapsed="false">
      <c r="A13" s="9" t="s">
        <v>522</v>
      </c>
      <c r="B13" s="17" t="n">
        <v>585150</v>
      </c>
    </row>
    <row r="14" customFormat="false" ht="15" hidden="false" customHeight="false" outlineLevel="0" collapsed="false">
      <c r="A14" s="9" t="s">
        <v>523</v>
      </c>
      <c r="B14" s="17" t="n">
        <v>2863580</v>
      </c>
    </row>
    <row r="15" customFormat="false" ht="15" hidden="false" customHeight="false" outlineLevel="0" collapsed="false">
      <c r="A15" s="9" t="s">
        <v>524</v>
      </c>
      <c r="B15" s="17" t="n">
        <v>1887301</v>
      </c>
    </row>
    <row r="16" customFormat="false" ht="15" hidden="false" customHeight="false" outlineLevel="0" collapsed="false">
      <c r="A16" s="9" t="s">
        <v>525</v>
      </c>
      <c r="B16" s="17" t="n">
        <v>1384700</v>
      </c>
    </row>
    <row r="17" customFormat="false" ht="15" hidden="false" customHeight="false" outlineLevel="0" collapsed="false">
      <c r="A17" s="9" t="s">
        <v>526</v>
      </c>
      <c r="B17" s="17" t="n">
        <v>3674087</v>
      </c>
    </row>
    <row r="18" customFormat="false" ht="15" hidden="false" customHeight="false" outlineLevel="0" collapsed="false">
      <c r="A18" s="9" t="s">
        <v>527</v>
      </c>
      <c r="B18" s="17" t="n">
        <v>5030080</v>
      </c>
    </row>
    <row r="19" customFormat="false" ht="15" hidden="false" customHeight="false" outlineLevel="0" collapsed="false">
      <c r="A19" s="9" t="s">
        <v>528</v>
      </c>
      <c r="B19" s="17" t="n">
        <v>2447280</v>
      </c>
    </row>
    <row r="20" customFormat="false" ht="15" hidden="false" customHeight="false" outlineLevel="0" collapsed="false">
      <c r="A20" s="9" t="s">
        <v>529</v>
      </c>
      <c r="B20" s="17" t="n">
        <f aca="false">SUM(B6:B19)</f>
        <v>44152875</v>
      </c>
    </row>
    <row r="21" customFormat="false" ht="28.35" hidden="false" customHeight="false" outlineLevel="0" collapsed="false">
      <c r="A21" s="15" t="s">
        <v>530</v>
      </c>
    </row>
    <row r="24" customFormat="false" ht="15" hidden="false" customHeight="false" outlineLevel="0" collapsed="false">
      <c r="A24" s="16" t="s">
        <v>531</v>
      </c>
    </row>
    <row r="25" customFormat="false" ht="15" hidden="false" customHeight="false" outlineLevel="0" collapsed="false">
      <c r="A25" s="7" t="s">
        <v>532</v>
      </c>
    </row>
    <row r="26" customFormat="false" ht="39.55" hidden="false" customHeight="false" outlineLevel="0" collapsed="false">
      <c r="A26" s="8" t="s">
        <v>533</v>
      </c>
      <c r="B26" s="8" t="s">
        <v>534</v>
      </c>
      <c r="C26" s="8" t="s">
        <v>535</v>
      </c>
      <c r="D26" s="8" t="s">
        <v>536</v>
      </c>
      <c r="E26" s="8" t="s">
        <v>537</v>
      </c>
      <c r="F26" s="8" t="s">
        <v>538</v>
      </c>
    </row>
    <row r="27" customFormat="false" ht="15" hidden="false" customHeight="false" outlineLevel="0" collapsed="false">
      <c r="A27" s="9" t="s">
        <v>539</v>
      </c>
      <c r="B27" s="9" t="s">
        <v>540</v>
      </c>
      <c r="C27" s="9" t="n">
        <v>7</v>
      </c>
      <c r="D27" s="9" t="n">
        <v>20</v>
      </c>
      <c r="E27" s="9" t="s">
        <v>541</v>
      </c>
      <c r="F27" s="9" t="n">
        <v>1.9</v>
      </c>
    </row>
    <row r="28" customFormat="false" ht="15" hidden="false" customHeight="false" outlineLevel="0" collapsed="false">
      <c r="A28" s="9" t="s">
        <v>542</v>
      </c>
      <c r="B28" s="9" t="s">
        <v>540</v>
      </c>
      <c r="C28" s="9" t="n">
        <v>7</v>
      </c>
      <c r="D28" s="9" t="n">
        <v>20</v>
      </c>
      <c r="E28" s="9" t="s">
        <v>543</v>
      </c>
      <c r="F28" s="9" t="n">
        <v>2.5</v>
      </c>
    </row>
    <row r="29" customFormat="false" ht="15" hidden="false" customHeight="false" outlineLevel="0" collapsed="false">
      <c r="A29" s="9" t="s">
        <v>544</v>
      </c>
      <c r="B29" s="9" t="s">
        <v>540</v>
      </c>
      <c r="C29" s="9" t="n">
        <v>7</v>
      </c>
      <c r="D29" s="9" t="n">
        <v>20</v>
      </c>
      <c r="E29" s="9" t="s">
        <v>545</v>
      </c>
      <c r="F29" s="9" t="n">
        <v>6.4</v>
      </c>
    </row>
    <row r="30" customFormat="false" ht="15" hidden="false" customHeight="false" outlineLevel="0" collapsed="false">
      <c r="A30" s="9" t="s">
        <v>546</v>
      </c>
      <c r="B30" s="9" t="s">
        <v>547</v>
      </c>
      <c r="C30" s="9" t="n">
        <v>7</v>
      </c>
      <c r="D30" s="9" t="n">
        <v>40</v>
      </c>
      <c r="E30" s="9" t="s">
        <v>548</v>
      </c>
      <c r="F30" s="9" t="n">
        <v>3.8</v>
      </c>
    </row>
    <row r="31" customFormat="false" ht="15" hidden="false" customHeight="false" outlineLevel="0" collapsed="false">
      <c r="A31" s="9" t="s">
        <v>549</v>
      </c>
      <c r="B31" s="9" t="s">
        <v>550</v>
      </c>
      <c r="C31" s="9" t="n">
        <v>6</v>
      </c>
      <c r="D31" s="9" t="n">
        <v>20</v>
      </c>
      <c r="E31" s="9" t="s">
        <v>551</v>
      </c>
      <c r="F31" s="9" t="n">
        <v>11.5</v>
      </c>
    </row>
    <row r="32" customFormat="false" ht="15" hidden="false" customHeight="false" outlineLevel="0" collapsed="false">
      <c r="A32" s="9" t="s">
        <v>552</v>
      </c>
      <c r="B32" s="9" t="s">
        <v>553</v>
      </c>
      <c r="C32" s="9" t="n">
        <v>6</v>
      </c>
      <c r="D32" s="9" t="n">
        <v>11</v>
      </c>
      <c r="E32" s="9" t="s">
        <v>554</v>
      </c>
      <c r="F32" s="9" t="n">
        <v>1.9</v>
      </c>
    </row>
    <row r="33" customFormat="false" ht="15" hidden="false" customHeight="false" outlineLevel="0" collapsed="false">
      <c r="A33" s="9" t="s">
        <v>555</v>
      </c>
      <c r="B33" s="9" t="s">
        <v>556</v>
      </c>
      <c r="C33" s="9" t="n">
        <v>5</v>
      </c>
      <c r="D33" s="9" t="n">
        <v>55</v>
      </c>
      <c r="E33" s="9" t="s">
        <v>557</v>
      </c>
      <c r="F33" s="9" t="n">
        <v>2.1</v>
      </c>
    </row>
    <row r="34" customFormat="false" ht="15" hidden="false" customHeight="false" outlineLevel="0" collapsed="false">
      <c r="A34" s="9" t="s">
        <v>558</v>
      </c>
      <c r="B34" s="9" t="s">
        <v>559</v>
      </c>
      <c r="C34" s="9" t="n">
        <v>5</v>
      </c>
      <c r="D34" s="9" t="n">
        <v>20</v>
      </c>
      <c r="E34" s="9" t="s">
        <v>560</v>
      </c>
      <c r="F34" s="9" t="n">
        <v>2.3</v>
      </c>
    </row>
    <row r="35" customFormat="false" ht="15" hidden="false" customHeight="false" outlineLevel="0" collapsed="false">
      <c r="A35" s="9" t="s">
        <v>561</v>
      </c>
      <c r="B35" s="9" t="s">
        <v>562</v>
      </c>
      <c r="C35" s="9" t="n">
        <v>5</v>
      </c>
      <c r="D35" s="9" t="n">
        <v>15</v>
      </c>
      <c r="E35" s="9" t="s">
        <v>563</v>
      </c>
      <c r="F35" s="9" t="n">
        <v>8</v>
      </c>
    </row>
    <row r="36" customFormat="false" ht="15" hidden="false" customHeight="false" outlineLevel="0" collapsed="false">
      <c r="A36" s="9" t="s">
        <v>564</v>
      </c>
      <c r="B36" s="9" t="s">
        <v>565</v>
      </c>
      <c r="C36" s="9" t="n">
        <v>5</v>
      </c>
      <c r="D36" s="9" t="n">
        <v>55</v>
      </c>
      <c r="E36" s="9" t="s">
        <v>566</v>
      </c>
      <c r="F36" s="9" t="n">
        <v>10.4</v>
      </c>
    </row>
    <row r="37" customFormat="false" ht="15" hidden="false" customHeight="false" outlineLevel="0" collapsed="false">
      <c r="A37" s="9" t="s">
        <v>529</v>
      </c>
      <c r="B37" s="9"/>
      <c r="C37" s="9"/>
      <c r="D37" s="9"/>
      <c r="E37" s="9"/>
      <c r="F37" s="18" t="n">
        <f aca="false">SUM(F27:F36)</f>
        <v>50.8</v>
      </c>
    </row>
    <row r="38" customFormat="false" ht="19.4" hidden="false" customHeight="false" outlineLevel="0" collapsed="false">
      <c r="A38" s="15" t="s">
        <v>567</v>
      </c>
    </row>
    <row r="41" customFormat="false" ht="15" hidden="false" customHeight="false" outlineLevel="0" collapsed="false">
      <c r="A41" s="16" t="s">
        <v>568</v>
      </c>
    </row>
    <row r="42" customFormat="false" ht="15" hidden="false" customHeight="false" outlineLevel="0" collapsed="false">
      <c r="A42" s="7" t="s">
        <v>569</v>
      </c>
    </row>
    <row r="43" customFormat="false" ht="64.9" hidden="false" customHeight="false" outlineLevel="0" collapsed="false">
      <c r="A43" s="8" t="s">
        <v>570</v>
      </c>
      <c r="B43" s="8" t="s">
        <v>571</v>
      </c>
      <c r="C43" s="8" t="s">
        <v>572</v>
      </c>
    </row>
    <row r="44" customFormat="false" ht="15" hidden="false" customHeight="false" outlineLevel="0" collapsed="false">
      <c r="A44" s="9" t="s">
        <v>573</v>
      </c>
      <c r="B44" s="9" t="s">
        <v>574</v>
      </c>
      <c r="C44" s="9" t="n">
        <v>34</v>
      </c>
    </row>
    <row r="45" customFormat="false" ht="15" hidden="false" customHeight="false" outlineLevel="0" collapsed="false">
      <c r="A45" s="9" t="s">
        <v>575</v>
      </c>
      <c r="B45" s="9" t="s">
        <v>576</v>
      </c>
      <c r="C45" s="9" t="n">
        <v>11</v>
      </c>
    </row>
    <row r="46" customFormat="false" ht="15" hidden="false" customHeight="false" outlineLevel="0" collapsed="false">
      <c r="A46" s="9" t="s">
        <v>577</v>
      </c>
      <c r="B46" s="9" t="s">
        <v>578</v>
      </c>
      <c r="C46" s="9" t="n">
        <v>14.3</v>
      </c>
    </row>
    <row r="47" customFormat="false" ht="15" hidden="false" customHeight="false" outlineLevel="0" collapsed="false">
      <c r="A47" s="9" t="s">
        <v>579</v>
      </c>
      <c r="B47" s="9" t="s">
        <v>580</v>
      </c>
      <c r="C47" s="9" t="n">
        <v>15.3</v>
      </c>
    </row>
    <row r="48" customFormat="false" ht="15" hidden="false" customHeight="false" outlineLevel="0" collapsed="false">
      <c r="A48" s="9" t="s">
        <v>581</v>
      </c>
      <c r="B48" s="9" t="s">
        <v>582</v>
      </c>
      <c r="C48" s="9" t="n">
        <v>2.4</v>
      </c>
    </row>
    <row r="49" customFormat="false" ht="15" hidden="false" customHeight="false" outlineLevel="0" collapsed="false">
      <c r="A49" s="9" t="s">
        <v>583</v>
      </c>
      <c r="B49" s="9" t="s">
        <v>584</v>
      </c>
      <c r="C49" s="9" t="n">
        <v>3.4</v>
      </c>
    </row>
    <row r="50" customFormat="false" ht="15" hidden="false" customHeight="false" outlineLevel="0" collapsed="false">
      <c r="A50" s="9" t="s">
        <v>585</v>
      </c>
      <c r="B50" s="9" t="s">
        <v>586</v>
      </c>
      <c r="C50" s="9" t="n">
        <v>3.7</v>
      </c>
    </row>
    <row r="51" customFormat="false" ht="15" hidden="false" customHeight="false" outlineLevel="0" collapsed="false">
      <c r="A51" s="9" t="s">
        <v>587</v>
      </c>
      <c r="B51" s="9" t="s">
        <v>578</v>
      </c>
      <c r="C51" s="9" t="n">
        <v>0.7</v>
      </c>
    </row>
    <row r="52" customFormat="false" ht="15" hidden="false" customHeight="false" outlineLevel="0" collapsed="false">
      <c r="A52" s="9" t="s">
        <v>588</v>
      </c>
      <c r="B52" s="9" t="s">
        <v>589</v>
      </c>
      <c r="C52" s="9" t="n">
        <v>1.7</v>
      </c>
    </row>
    <row r="53" customFormat="false" ht="15" hidden="false" customHeight="false" outlineLevel="0" collapsed="false">
      <c r="A53" s="9" t="s">
        <v>590</v>
      </c>
      <c r="B53" s="9" t="s">
        <v>591</v>
      </c>
      <c r="C53" s="9" t="n">
        <v>3.3</v>
      </c>
    </row>
    <row r="54" customFormat="false" ht="15" hidden="false" customHeight="false" outlineLevel="0" collapsed="false">
      <c r="A54" s="9" t="s">
        <v>529</v>
      </c>
      <c r="B54" s="9"/>
      <c r="C54" s="18" t="n">
        <f aca="false">SUM(C44:C53)</f>
        <v>89.8</v>
      </c>
    </row>
    <row r="55" customFormat="false" ht="37.3" hidden="false" customHeight="false" outlineLevel="0" collapsed="false">
      <c r="A55" s="15" t="s">
        <v>592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6"/>
    <col collapsed="false" customWidth="true" hidden="false" outlineLevel="0" max="3" min="3" style="0" width="46"/>
  </cols>
  <sheetData>
    <row r="1" customFormat="false" ht="16.15" hidden="false" customHeight="false" outlineLevel="0" collapsed="false">
      <c r="A1" s="4" t="s">
        <v>593</v>
      </c>
    </row>
    <row r="2" customFormat="false" ht="15" hidden="false" customHeight="false" outlineLevel="0" collapsed="false">
      <c r="A2" s="7" t="s">
        <v>594</v>
      </c>
    </row>
    <row r="4" customFormat="false" ht="26.85" hidden="false" customHeight="false" outlineLevel="0" collapsed="false">
      <c r="A4" s="8" t="s">
        <v>506</v>
      </c>
      <c r="B4" s="8" t="s">
        <v>595</v>
      </c>
      <c r="C4" s="8" t="s">
        <v>596</v>
      </c>
    </row>
    <row r="5" customFormat="false" ht="15" hidden="false" customHeight="false" outlineLevel="0" collapsed="false">
      <c r="A5" s="9" t="n">
        <v>1900</v>
      </c>
      <c r="B5" s="14" t="n">
        <v>0</v>
      </c>
      <c r="C5" s="10"/>
    </row>
    <row r="6" customFormat="false" ht="15" hidden="false" customHeight="false" outlineLevel="0" collapsed="false">
      <c r="A6" s="9" t="n">
        <v>1901</v>
      </c>
      <c r="B6" s="14" t="n">
        <v>0</v>
      </c>
      <c r="C6" s="10"/>
    </row>
    <row r="7" customFormat="false" ht="15" hidden="false" customHeight="false" outlineLevel="0" collapsed="false">
      <c r="A7" s="9" t="n">
        <v>1902</v>
      </c>
      <c r="B7" s="14" t="n">
        <v>0.14</v>
      </c>
      <c r="C7" s="10" t="s">
        <v>597</v>
      </c>
    </row>
    <row r="8" customFormat="false" ht="15" hidden="false" customHeight="false" outlineLevel="0" collapsed="false">
      <c r="A8" s="9" t="n">
        <v>1903</v>
      </c>
      <c r="B8" s="14" t="n">
        <v>0.49</v>
      </c>
      <c r="C8" s="10"/>
    </row>
    <row r="9" customFormat="false" ht="15" hidden="false" customHeight="false" outlineLevel="0" collapsed="false">
      <c r="A9" s="9" t="n">
        <v>1904</v>
      </c>
      <c r="B9" s="14" t="n">
        <v>5.21</v>
      </c>
      <c r="C9" s="10"/>
    </row>
    <row r="10" customFormat="false" ht="15" hidden="false" customHeight="false" outlineLevel="0" collapsed="false">
      <c r="A10" s="9" t="n">
        <v>1905</v>
      </c>
      <c r="B10" s="14" t="n">
        <v>11.71</v>
      </c>
      <c r="C10" s="10"/>
    </row>
    <row r="11" customFormat="false" ht="15" hidden="false" customHeight="false" outlineLevel="0" collapsed="false">
      <c r="A11" s="9" t="n">
        <v>1906</v>
      </c>
      <c r="B11" s="14" t="n">
        <v>16.81</v>
      </c>
      <c r="C11" s="10"/>
    </row>
    <row r="12" customFormat="false" ht="15" hidden="false" customHeight="false" outlineLevel="0" collapsed="false">
      <c r="A12" s="9" t="n">
        <v>1907</v>
      </c>
      <c r="B12" s="14" t="n">
        <v>19.76</v>
      </c>
      <c r="C12" s="10"/>
    </row>
    <row r="13" customFormat="false" ht="15" hidden="false" customHeight="false" outlineLevel="0" collapsed="false">
      <c r="A13" s="9" t="n">
        <v>1908</v>
      </c>
      <c r="B13" s="14" t="n">
        <v>25</v>
      </c>
      <c r="C13" s="10"/>
    </row>
    <row r="14" customFormat="false" ht="15" hidden="false" customHeight="false" outlineLevel="0" collapsed="false">
      <c r="A14" s="9" t="n">
        <v>1909</v>
      </c>
      <c r="B14" s="14" t="n">
        <v>28.5</v>
      </c>
      <c r="C14" s="10"/>
    </row>
    <row r="15" customFormat="false" ht="23.85" hidden="false" customHeight="false" outlineLevel="0" collapsed="false">
      <c r="A15" s="9" t="n">
        <v>1910</v>
      </c>
      <c r="B15" s="14" t="n">
        <v>30</v>
      </c>
      <c r="C15" s="10" t="s">
        <v>598</v>
      </c>
    </row>
    <row r="16" customFormat="false" ht="15" hidden="false" customHeight="false" outlineLevel="0" collapsed="false">
      <c r="A16" s="9" t="n">
        <v>1911</v>
      </c>
      <c r="B16" s="14" t="n">
        <v>30</v>
      </c>
      <c r="C16" s="10"/>
    </row>
    <row r="17" customFormat="false" ht="15" hidden="false" customHeight="false" outlineLevel="0" collapsed="false">
      <c r="A17" s="9" t="n">
        <v>1912</v>
      </c>
      <c r="B17" s="14" t="n">
        <v>30</v>
      </c>
      <c r="C17" s="10"/>
    </row>
    <row r="18" customFormat="false" ht="15" hidden="false" customHeight="false" outlineLevel="0" collapsed="false">
      <c r="A18" s="9" t="n">
        <v>1913</v>
      </c>
      <c r="B18" s="14" t="n">
        <v>30</v>
      </c>
      <c r="C18" s="10"/>
    </row>
    <row r="19" customFormat="false" ht="23.85" hidden="false" customHeight="false" outlineLevel="0" collapsed="false">
      <c r="A19" s="9" t="n">
        <v>1914</v>
      </c>
      <c r="B19" s="14" t="n">
        <v>10</v>
      </c>
      <c r="C19" s="10" t="s">
        <v>599</v>
      </c>
    </row>
    <row r="20" customFormat="false" ht="15" hidden="false" customHeight="false" outlineLevel="0" collapsed="false">
      <c r="A20" s="9" t="n">
        <v>1915</v>
      </c>
      <c r="B20" s="14" t="n">
        <v>10</v>
      </c>
      <c r="C20" s="10"/>
    </row>
    <row r="21" customFormat="false" ht="15" hidden="false" customHeight="false" outlineLevel="0" collapsed="false">
      <c r="A21" s="9" t="n">
        <v>1916</v>
      </c>
      <c r="B21" s="14" t="n">
        <v>10</v>
      </c>
      <c r="C21" s="10"/>
    </row>
    <row r="22" customFormat="false" ht="15" hidden="false" customHeight="false" outlineLevel="0" collapsed="false">
      <c r="A22" s="9" t="n">
        <v>1917</v>
      </c>
      <c r="B22" s="14" t="n">
        <v>10</v>
      </c>
      <c r="C22" s="10"/>
    </row>
    <row r="23" customFormat="false" ht="15" hidden="false" customHeight="false" outlineLevel="0" collapsed="false">
      <c r="A23" s="9" t="n">
        <v>1918</v>
      </c>
      <c r="B23" s="14" t="n">
        <v>10</v>
      </c>
      <c r="C23" s="10"/>
    </row>
    <row r="24" customFormat="false" ht="15" hidden="false" customHeight="false" outlineLevel="0" collapsed="false">
      <c r="A24" s="9" t="n">
        <v>1919</v>
      </c>
      <c r="B24" s="14" t="n">
        <v>10</v>
      </c>
      <c r="C24" s="10"/>
    </row>
    <row r="25" customFormat="false" ht="15" hidden="false" customHeight="false" outlineLevel="0" collapsed="false">
      <c r="A25" s="9" t="n">
        <v>1920</v>
      </c>
      <c r="B25" s="14" t="n">
        <v>10</v>
      </c>
      <c r="C25" s="10"/>
    </row>
    <row r="26" customFormat="false" ht="15" hidden="false" customHeight="false" outlineLevel="0" collapsed="false">
      <c r="A26" s="9" t="n">
        <v>1921</v>
      </c>
      <c r="B26" s="14" t="n">
        <v>10</v>
      </c>
      <c r="C26" s="10"/>
    </row>
    <row r="27" customFormat="false" ht="15" hidden="false" customHeight="false" outlineLevel="0" collapsed="false">
      <c r="A27" s="9" t="n">
        <v>1922</v>
      </c>
      <c r="B27" s="14" t="n">
        <v>10</v>
      </c>
      <c r="C27" s="10"/>
    </row>
    <row r="28" customFormat="false" ht="15" hidden="false" customHeight="false" outlineLevel="0" collapsed="false">
      <c r="A28" s="9" t="n">
        <v>1923</v>
      </c>
      <c r="B28" s="14" t="n">
        <v>10</v>
      </c>
      <c r="C28" s="10"/>
    </row>
    <row r="29" customFormat="false" ht="23.85" hidden="false" customHeight="false" outlineLevel="0" collapsed="false">
      <c r="A29" s="9" t="n">
        <v>1924</v>
      </c>
      <c r="B29" s="14" t="n">
        <v>0</v>
      </c>
      <c r="C29" s="10" t="s">
        <v>600</v>
      </c>
    </row>
    <row r="30" customFormat="false" ht="15" hidden="false" customHeight="false" outlineLevel="0" collapsed="false">
      <c r="A30" s="9" t="n">
        <v>1925</v>
      </c>
      <c r="B30" s="14" t="n">
        <v>7.09</v>
      </c>
      <c r="C30" s="10" t="s">
        <v>601</v>
      </c>
    </row>
    <row r="31" customFormat="false" ht="15" hidden="false" customHeight="false" outlineLevel="0" collapsed="false">
      <c r="A31" s="9" t="n">
        <v>1926</v>
      </c>
      <c r="B31" s="14" t="n">
        <v>7.09</v>
      </c>
      <c r="C31" s="10"/>
    </row>
    <row r="32" customFormat="false" ht="23.85" hidden="false" customHeight="false" outlineLevel="0" collapsed="false">
      <c r="A32" s="9" t="n">
        <v>1927</v>
      </c>
      <c r="B32" s="14" t="n">
        <v>30</v>
      </c>
      <c r="C32" s="10" t="s">
        <v>602</v>
      </c>
    </row>
    <row r="33" customFormat="false" ht="15" hidden="false" customHeight="false" outlineLevel="0" collapsed="false">
      <c r="A33" s="9" t="n">
        <v>1928</v>
      </c>
      <c r="B33" s="14" t="n">
        <v>30</v>
      </c>
      <c r="C33" s="10"/>
    </row>
    <row r="35" customFormat="false" ht="324.6" hidden="false" customHeight="false" outlineLevel="0" collapsed="false">
      <c r="A35" s="15" t="s">
        <v>603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26"/>
  </cols>
  <sheetData>
    <row r="1" customFormat="false" ht="16.15" hidden="false" customHeight="false" outlineLevel="0" collapsed="false">
      <c r="A1" s="4" t="s">
        <v>604</v>
      </c>
    </row>
    <row r="2" customFormat="false" ht="25.5" hidden="false" customHeight="true" outlineLevel="0" collapsed="false">
      <c r="A2" s="7" t="s">
        <v>605</v>
      </c>
    </row>
    <row r="4" customFormat="false" ht="26.85" hidden="false" customHeight="false" outlineLevel="0" collapsed="false">
      <c r="A4" s="8" t="s">
        <v>506</v>
      </c>
      <c r="B4" s="8" t="s">
        <v>606</v>
      </c>
      <c r="C4" s="8" t="s">
        <v>607</v>
      </c>
    </row>
    <row r="5" customFormat="false" ht="15" hidden="false" customHeight="false" outlineLevel="0" collapsed="false">
      <c r="A5" s="9" t="n">
        <v>1908</v>
      </c>
      <c r="B5" s="19" t="n">
        <v>3</v>
      </c>
      <c r="C5" s="20" t="n">
        <v>0.014</v>
      </c>
    </row>
    <row r="6" customFormat="false" ht="15" hidden="false" customHeight="false" outlineLevel="0" collapsed="false">
      <c r="A6" s="9" t="n">
        <v>1909</v>
      </c>
      <c r="B6" s="19" t="n">
        <v>2.7</v>
      </c>
      <c r="C6" s="20" t="n">
        <v>0.01</v>
      </c>
    </row>
    <row r="7" customFormat="false" ht="15" hidden="false" customHeight="false" outlineLevel="0" collapsed="false">
      <c r="A7" s="9" t="n">
        <v>1910</v>
      </c>
      <c r="B7" s="19" t="n">
        <v>4.4</v>
      </c>
      <c r="C7" s="20" t="n">
        <v>0.015</v>
      </c>
    </row>
    <row r="8" customFormat="false" ht="15" hidden="false" customHeight="false" outlineLevel="0" collapsed="false">
      <c r="A8" s="9" t="n">
        <v>1911</v>
      </c>
      <c r="B8" s="19" t="n">
        <v>5.8</v>
      </c>
      <c r="C8" s="20" t="n">
        <v>0.019</v>
      </c>
    </row>
    <row r="9" customFormat="false" ht="15" hidden="false" customHeight="false" outlineLevel="0" collapsed="false">
      <c r="A9" s="9" t="n">
        <v>1912</v>
      </c>
      <c r="B9" s="19" t="n">
        <v>8.9</v>
      </c>
      <c r="C9" s="20" t="n">
        <v>0.028</v>
      </c>
    </row>
    <row r="10" customFormat="false" ht="15" hidden="false" customHeight="false" outlineLevel="0" collapsed="false">
      <c r="A10" s="9" t="n">
        <v>1913</v>
      </c>
      <c r="B10" s="19" t="n">
        <v>7.7</v>
      </c>
      <c r="C10" s="20" t="n">
        <v>0.024</v>
      </c>
    </row>
    <row r="11" customFormat="false" ht="15" hidden="false" customHeight="false" outlineLevel="0" collapsed="false">
      <c r="A11" s="9" t="n">
        <v>1914</v>
      </c>
      <c r="B11" s="19" t="n">
        <v>43.2</v>
      </c>
      <c r="C11" s="20" t="n">
        <v>0.17</v>
      </c>
    </row>
    <row r="12" customFormat="false" ht="15" hidden="false" customHeight="false" outlineLevel="0" collapsed="false">
      <c r="A12" s="9" t="n">
        <v>1915</v>
      </c>
      <c r="B12" s="19" t="n">
        <v>13.4</v>
      </c>
      <c r="C12" s="20" t="n">
        <v>0.05</v>
      </c>
    </row>
    <row r="13" customFormat="false" ht="15" hidden="false" customHeight="false" outlineLevel="0" collapsed="false">
      <c r="A13" s="9" t="n">
        <v>1916</v>
      </c>
      <c r="B13" s="19" t="n">
        <v>15.6</v>
      </c>
      <c r="C13" s="20" t="n">
        <v>0.05</v>
      </c>
    </row>
    <row r="14" customFormat="false" ht="15" hidden="false" customHeight="false" outlineLevel="0" collapsed="false">
      <c r="A14" s="9" t="n">
        <v>1917</v>
      </c>
      <c r="B14" s="19" t="n">
        <v>6.6</v>
      </c>
      <c r="C14" s="20" t="n">
        <v>0.02</v>
      </c>
    </row>
    <row r="15" customFormat="false" ht="15" hidden="false" customHeight="false" outlineLevel="0" collapsed="false">
      <c r="A15" s="9" t="n">
        <v>1918</v>
      </c>
      <c r="B15" s="19" t="n">
        <v>0</v>
      </c>
      <c r="C15" s="20" t="n">
        <v>0</v>
      </c>
    </row>
    <row r="16" customFormat="false" ht="15" hidden="false" customHeight="false" outlineLevel="0" collapsed="false">
      <c r="A16" s="9" t="n">
        <v>1919</v>
      </c>
      <c r="B16" s="19" t="n">
        <v>0</v>
      </c>
      <c r="C16" s="20" t="n">
        <v>0</v>
      </c>
    </row>
    <row r="17" customFormat="false" ht="15" hidden="false" customHeight="false" outlineLevel="0" collapsed="false">
      <c r="A17" s="9" t="n">
        <v>1920</v>
      </c>
      <c r="B17" s="19" t="n">
        <v>0</v>
      </c>
      <c r="C17" s="20" t="n">
        <v>0</v>
      </c>
    </row>
    <row r="18" customFormat="false" ht="15" hidden="false" customHeight="false" outlineLevel="0" collapsed="false">
      <c r="A18" s="9" t="n">
        <v>1921</v>
      </c>
      <c r="B18" s="19" t="n">
        <v>37.9</v>
      </c>
      <c r="C18" s="20" t="n">
        <v>0.05</v>
      </c>
    </row>
    <row r="19" customFormat="false" ht="15" hidden="false" customHeight="false" outlineLevel="0" collapsed="false">
      <c r="A19" s="9" t="n">
        <v>1922</v>
      </c>
      <c r="B19" s="19" t="n">
        <v>12.9</v>
      </c>
      <c r="C19" s="20" t="n">
        <v>0.02</v>
      </c>
    </row>
    <row r="20" customFormat="false" ht="15" hidden="false" customHeight="false" outlineLevel="0" collapsed="false">
      <c r="A20" s="9" t="n">
        <v>1923</v>
      </c>
      <c r="B20" s="19" t="n">
        <v>107</v>
      </c>
      <c r="C20" s="20" t="n">
        <v>0.15</v>
      </c>
    </row>
    <row r="21" customFormat="false" ht="15" hidden="false" customHeight="false" outlineLevel="0" collapsed="false">
      <c r="A21" s="9" t="n">
        <v>1924</v>
      </c>
      <c r="B21" s="19" t="n">
        <v>121.6</v>
      </c>
      <c r="C21" s="20" t="n">
        <v>0.25</v>
      </c>
    </row>
    <row r="22" customFormat="false" ht="15" hidden="false" customHeight="false" outlineLevel="0" collapsed="false">
      <c r="A22" s="9" t="n">
        <v>1925</v>
      </c>
      <c r="B22" s="19" t="n">
        <v>123</v>
      </c>
      <c r="C22" s="20" t="n">
        <v>0.26</v>
      </c>
    </row>
    <row r="23" customFormat="false" ht="15" hidden="false" customHeight="false" outlineLevel="0" collapsed="false">
      <c r="A23" s="9" t="n">
        <v>1926</v>
      </c>
      <c r="B23" s="19" t="n">
        <v>147.2</v>
      </c>
      <c r="C23" s="20" t="n">
        <v>0.3</v>
      </c>
    </row>
    <row r="24" customFormat="false" ht="15" hidden="false" customHeight="false" outlineLevel="0" collapsed="false">
      <c r="A24" s="9" t="n">
        <v>1927</v>
      </c>
      <c r="B24" s="19" t="n">
        <v>106.4</v>
      </c>
      <c r="C24" s="20" t="n">
        <v>0.21</v>
      </c>
    </row>
    <row r="25" customFormat="false" ht="15" hidden="false" customHeight="false" outlineLevel="0" collapsed="false">
      <c r="A25" s="9" t="n">
        <v>1928</v>
      </c>
      <c r="B25" s="19" t="n">
        <v>91.6</v>
      </c>
      <c r="C25" s="20" t="n">
        <v>0.18</v>
      </c>
    </row>
    <row r="26" customFormat="false" ht="15" hidden="false" customHeight="false" outlineLevel="0" collapsed="false">
      <c r="A26" s="9" t="n">
        <v>1929</v>
      </c>
      <c r="B26" s="19" t="n">
        <v>156.2</v>
      </c>
      <c r="C26" s="20" t="n">
        <v>0.41</v>
      </c>
    </row>
    <row r="27" customFormat="false" ht="15" hidden="false" customHeight="false" outlineLevel="0" collapsed="false">
      <c r="A27" s="9" t="n">
        <v>1930</v>
      </c>
      <c r="B27" s="19" t="n">
        <v>151.5</v>
      </c>
      <c r="C27" s="20" t="n">
        <v>0.31</v>
      </c>
    </row>
    <row r="28" customFormat="false" ht="15" hidden="false" customHeight="false" outlineLevel="0" collapsed="false">
      <c r="A28" s="9" t="n">
        <v>1931</v>
      </c>
      <c r="B28" s="19" t="n">
        <v>284.8</v>
      </c>
      <c r="C28" s="20" t="n">
        <v>0.61</v>
      </c>
    </row>
    <row r="29" customFormat="false" ht="15" hidden="false" customHeight="false" outlineLevel="0" collapsed="false">
      <c r="A29" s="9" t="n">
        <v>1932</v>
      </c>
      <c r="B29" s="19" t="n">
        <v>315.9</v>
      </c>
      <c r="C29" s="20" t="n">
        <v>0.53</v>
      </c>
    </row>
    <row r="30" customFormat="false" ht="15" hidden="false" customHeight="false" outlineLevel="0" collapsed="false">
      <c r="A30" s="9" t="n">
        <v>1933</v>
      </c>
      <c r="B30" s="19" t="n">
        <v>292.6</v>
      </c>
      <c r="C30" s="20" t="n">
        <v>0.55</v>
      </c>
    </row>
    <row r="31" customFormat="false" ht="15" hidden="false" customHeight="false" outlineLevel="0" collapsed="false">
      <c r="A31" s="9" t="n">
        <v>1934</v>
      </c>
      <c r="B31" s="19" t="n">
        <v>295.2</v>
      </c>
      <c r="C31" s="20" t="n">
        <v>0.7</v>
      </c>
    </row>
    <row r="33" customFormat="false" ht="270.85" hidden="false" customHeight="false" outlineLevel="0" collapsed="false">
      <c r="A33" s="15" t="s">
        <v>608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6"/>
    <col collapsed="false" customWidth="true" hidden="false" outlineLevel="0" max="4" min="4" style="0" width="14"/>
    <col collapsed="false" customWidth="true" hidden="false" outlineLevel="0" max="5" min="5" style="0" width="22"/>
  </cols>
  <sheetData>
    <row r="1" customFormat="false" ht="16.15" hidden="false" customHeight="false" outlineLevel="0" collapsed="false">
      <c r="A1" s="4" t="s">
        <v>609</v>
      </c>
    </row>
    <row r="2" customFormat="false" ht="15" hidden="false" customHeight="false" outlineLevel="0" collapsed="false">
      <c r="A2" s="7" t="s">
        <v>610</v>
      </c>
    </row>
    <row r="4" customFormat="false" ht="39.55" hidden="false" customHeight="false" outlineLevel="0" collapsed="false">
      <c r="A4" s="8" t="s">
        <v>506</v>
      </c>
      <c r="B4" s="8" t="s">
        <v>611</v>
      </c>
      <c r="C4" s="8" t="s">
        <v>612</v>
      </c>
      <c r="D4" s="8" t="s">
        <v>613</v>
      </c>
      <c r="E4" s="8" t="s">
        <v>614</v>
      </c>
    </row>
    <row r="5" customFormat="false" ht="15" hidden="false" customHeight="false" outlineLevel="0" collapsed="false">
      <c r="A5" s="21" t="n">
        <v>1900</v>
      </c>
      <c r="B5" s="19" t="n">
        <v>1.8</v>
      </c>
      <c r="C5" s="19" t="n">
        <v>2</v>
      </c>
      <c r="D5" s="9"/>
      <c r="E5" s="9"/>
    </row>
    <row r="6" customFormat="false" ht="15" hidden="false" customHeight="false" outlineLevel="0" collapsed="false">
      <c r="A6" s="21" t="n">
        <v>1901</v>
      </c>
      <c r="B6" s="19" t="n">
        <v>1</v>
      </c>
      <c r="C6" s="19" t="n">
        <v>2</v>
      </c>
      <c r="D6" s="9"/>
      <c r="E6" s="9"/>
    </row>
    <row r="7" customFormat="false" ht="15" hidden="false" customHeight="false" outlineLevel="0" collapsed="false">
      <c r="A7" s="21" t="n">
        <v>1902</v>
      </c>
      <c r="B7" s="19" t="n">
        <v>5.3</v>
      </c>
      <c r="C7" s="19" t="n">
        <v>6</v>
      </c>
      <c r="D7" s="9"/>
      <c r="E7" s="9"/>
    </row>
    <row r="8" customFormat="false" ht="15" hidden="false" customHeight="false" outlineLevel="0" collapsed="false">
      <c r="A8" s="21" t="n">
        <v>1903</v>
      </c>
      <c r="B8" s="19" t="n">
        <v>0.3</v>
      </c>
      <c r="C8" s="19" t="n">
        <v>6</v>
      </c>
      <c r="D8" s="9"/>
      <c r="E8" s="9"/>
    </row>
    <row r="9" customFormat="false" ht="15" hidden="false" customHeight="false" outlineLevel="0" collapsed="false">
      <c r="A9" s="21" t="n">
        <v>1904</v>
      </c>
      <c r="B9" s="9"/>
      <c r="C9" s="19" t="n">
        <v>10.9</v>
      </c>
      <c r="D9" s="9"/>
      <c r="E9" s="9"/>
    </row>
    <row r="10" customFormat="false" ht="15" hidden="false" customHeight="false" outlineLevel="0" collapsed="false">
      <c r="A10" s="21" t="n">
        <v>1905</v>
      </c>
      <c r="B10" s="9"/>
      <c r="C10" s="19" t="n">
        <v>12.2</v>
      </c>
      <c r="D10" s="9"/>
      <c r="E10" s="9"/>
    </row>
    <row r="11" customFormat="false" ht="15" hidden="false" customHeight="false" outlineLevel="0" collapsed="false">
      <c r="A11" s="21" t="n">
        <v>1906</v>
      </c>
      <c r="B11" s="19" t="n">
        <v>0.6</v>
      </c>
      <c r="C11" s="19" t="n">
        <v>12.4</v>
      </c>
      <c r="D11" s="9"/>
      <c r="E11" s="9"/>
    </row>
    <row r="12" customFormat="false" ht="15" hidden="false" customHeight="false" outlineLevel="0" collapsed="false">
      <c r="A12" s="21" t="n">
        <v>1907</v>
      </c>
      <c r="B12" s="19" t="n">
        <v>1.4</v>
      </c>
      <c r="C12" s="19" t="n">
        <v>13.5</v>
      </c>
      <c r="D12" s="9"/>
      <c r="E12" s="9"/>
    </row>
    <row r="13" customFormat="false" ht="15" hidden="false" customHeight="false" outlineLevel="0" collapsed="false">
      <c r="A13" s="21" t="n">
        <v>1908</v>
      </c>
      <c r="B13" s="9"/>
      <c r="C13" s="19" t="n">
        <v>25</v>
      </c>
      <c r="D13" s="9"/>
      <c r="E13" s="9"/>
    </row>
    <row r="14" customFormat="false" ht="15" hidden="false" customHeight="false" outlineLevel="0" collapsed="false">
      <c r="A14" s="21" t="n">
        <v>1909</v>
      </c>
      <c r="B14" s="9"/>
      <c r="C14" s="19" t="n">
        <v>26.4</v>
      </c>
      <c r="D14" s="9"/>
      <c r="E14" s="9"/>
    </row>
    <row r="15" customFormat="false" ht="15" hidden="false" customHeight="false" outlineLevel="0" collapsed="false">
      <c r="A15" s="21" t="n">
        <v>1910</v>
      </c>
      <c r="B15" s="9"/>
      <c r="C15" s="19" t="n">
        <v>27.9</v>
      </c>
      <c r="D15" s="9"/>
      <c r="E15" s="9"/>
    </row>
    <row r="16" customFormat="false" ht="15" hidden="false" customHeight="false" outlineLevel="0" collapsed="false">
      <c r="A16" s="21" t="n">
        <v>1911</v>
      </c>
      <c r="B16" s="9"/>
      <c r="C16" s="19" t="n">
        <v>29.4</v>
      </c>
      <c r="D16" s="9"/>
      <c r="E16" s="9"/>
    </row>
    <row r="17" customFormat="false" ht="15" hidden="false" customHeight="false" outlineLevel="0" collapsed="false">
      <c r="A17" s="21" t="n">
        <v>1912</v>
      </c>
      <c r="B17" s="9"/>
      <c r="C17" s="19" t="n">
        <v>31</v>
      </c>
      <c r="D17" s="9"/>
      <c r="E17" s="9"/>
    </row>
    <row r="18" customFormat="false" ht="15" hidden="false" customHeight="false" outlineLevel="0" collapsed="false">
      <c r="A18" s="21" t="n">
        <v>1913</v>
      </c>
      <c r="B18" s="9"/>
      <c r="C18" s="19" t="n">
        <v>32.2</v>
      </c>
      <c r="D18" s="9"/>
      <c r="E18" s="9"/>
    </row>
    <row r="19" customFormat="false" ht="15" hidden="false" customHeight="false" outlineLevel="0" collapsed="false">
      <c r="A19" s="21" t="n">
        <v>1914</v>
      </c>
      <c r="B19" s="19" t="n">
        <v>0.7</v>
      </c>
      <c r="C19" s="19" t="n">
        <v>32.2</v>
      </c>
      <c r="D19" s="9"/>
      <c r="E19" s="19" t="n">
        <v>0</v>
      </c>
    </row>
    <row r="20" customFormat="false" ht="15" hidden="false" customHeight="false" outlineLevel="0" collapsed="false">
      <c r="A20" s="21" t="n">
        <v>1915</v>
      </c>
      <c r="B20" s="19" t="n">
        <v>21.5</v>
      </c>
      <c r="C20" s="19" t="n">
        <v>32.2</v>
      </c>
      <c r="D20" s="9"/>
      <c r="E20" s="19" t="n">
        <v>49.6</v>
      </c>
    </row>
    <row r="21" customFormat="false" ht="15" hidden="false" customHeight="false" outlineLevel="0" collapsed="false">
      <c r="A21" s="21" t="n">
        <v>1916</v>
      </c>
      <c r="B21" s="19" t="n">
        <v>52.6</v>
      </c>
      <c r="C21" s="19" t="n">
        <v>32.2</v>
      </c>
      <c r="D21" s="19" t="n">
        <v>20.3</v>
      </c>
      <c r="E21" s="19" t="n">
        <v>59.2</v>
      </c>
    </row>
    <row r="22" customFormat="false" ht="15" hidden="false" customHeight="false" outlineLevel="0" collapsed="false">
      <c r="A22" s="21" t="n">
        <v>1917</v>
      </c>
      <c r="B22" s="19" t="n">
        <v>49.4</v>
      </c>
      <c r="C22" s="19" t="n">
        <v>32.7</v>
      </c>
      <c r="D22" s="19" t="n">
        <v>16.8</v>
      </c>
      <c r="E22" s="19" t="n">
        <v>112.5</v>
      </c>
    </row>
    <row r="23" customFormat="false" ht="15" hidden="false" customHeight="false" outlineLevel="0" collapsed="false">
      <c r="A23" s="21" t="n">
        <v>1918</v>
      </c>
      <c r="B23" s="19" t="n">
        <v>56</v>
      </c>
      <c r="C23" s="19" t="n">
        <v>34</v>
      </c>
      <c r="D23" s="19" t="n">
        <v>22</v>
      </c>
      <c r="E23" s="19" t="n">
        <v>80</v>
      </c>
    </row>
    <row r="24" customFormat="false" ht="15" hidden="false" customHeight="false" outlineLevel="0" collapsed="false">
      <c r="A24" s="21" t="n">
        <v>1919</v>
      </c>
      <c r="B24" s="19" t="n">
        <v>64.1</v>
      </c>
      <c r="C24" s="19" t="n">
        <v>36.4</v>
      </c>
      <c r="D24" s="19" t="n">
        <v>27.7</v>
      </c>
      <c r="E24" s="19" t="n">
        <v>160.9</v>
      </c>
    </row>
    <row r="25" customFormat="false" ht="15" hidden="false" customHeight="false" outlineLevel="0" collapsed="false">
      <c r="A25" s="21" t="n">
        <v>1920</v>
      </c>
      <c r="B25" s="19" t="n">
        <v>7.8</v>
      </c>
      <c r="C25" s="19" t="n">
        <v>39</v>
      </c>
      <c r="D25" s="9"/>
      <c r="E25" s="19" t="n">
        <v>169.8</v>
      </c>
    </row>
    <row r="26" customFormat="false" ht="15" hidden="false" customHeight="false" outlineLevel="0" collapsed="false">
      <c r="A26" s="21" t="n">
        <v>1921</v>
      </c>
      <c r="B26" s="19" t="n">
        <v>54.3</v>
      </c>
      <c r="C26" s="19" t="n">
        <v>41</v>
      </c>
      <c r="D26" s="19" t="n">
        <v>13.3</v>
      </c>
      <c r="E26" s="19" t="n">
        <v>144.1</v>
      </c>
    </row>
    <row r="27" customFormat="false" ht="15" hidden="false" customHeight="false" outlineLevel="0" collapsed="false">
      <c r="A27" s="21" t="n">
        <v>1922</v>
      </c>
      <c r="B27" s="9"/>
      <c r="C27" s="19" t="n">
        <v>42</v>
      </c>
      <c r="D27" s="9"/>
      <c r="E27" s="19" t="n">
        <v>211.3</v>
      </c>
    </row>
    <row r="28" customFormat="false" ht="15" hidden="false" customHeight="false" outlineLevel="0" collapsed="false">
      <c r="A28" s="21" t="n">
        <v>1923</v>
      </c>
      <c r="B28" s="9"/>
      <c r="C28" s="19" t="n">
        <v>42</v>
      </c>
      <c r="D28" s="9"/>
      <c r="E28" s="19" t="n">
        <v>244</v>
      </c>
    </row>
    <row r="29" customFormat="false" ht="15" hidden="false" customHeight="false" outlineLevel="0" collapsed="false">
      <c r="A29" s="21" t="n">
        <v>1924</v>
      </c>
      <c r="B29" s="9"/>
      <c r="C29" s="19" t="n">
        <v>42</v>
      </c>
      <c r="D29" s="9"/>
      <c r="E29" s="19" t="n">
        <v>281.5</v>
      </c>
    </row>
    <row r="30" customFormat="false" ht="15" hidden="false" customHeight="false" outlineLevel="0" collapsed="false">
      <c r="A30" s="21" t="n">
        <v>1925</v>
      </c>
      <c r="B30" s="9"/>
      <c r="C30" s="19" t="n">
        <v>42</v>
      </c>
      <c r="D30" s="9"/>
      <c r="E30" s="19" t="n">
        <v>269.6</v>
      </c>
    </row>
    <row r="31" customFormat="false" ht="15" hidden="false" customHeight="false" outlineLevel="0" collapsed="false">
      <c r="A31" s="21" t="n">
        <v>1926</v>
      </c>
      <c r="B31" s="9"/>
      <c r="C31" s="19" t="n">
        <v>42.4</v>
      </c>
      <c r="D31" s="9"/>
      <c r="E31" s="19" t="n">
        <v>265.9</v>
      </c>
    </row>
    <row r="32" customFormat="false" ht="15" hidden="false" customHeight="false" outlineLevel="0" collapsed="false">
      <c r="A32" s="21" t="n">
        <v>1927</v>
      </c>
      <c r="B32" s="9"/>
      <c r="C32" s="19" t="n">
        <v>43.9</v>
      </c>
      <c r="D32" s="9"/>
      <c r="E32" s="19" t="n">
        <v>245.6</v>
      </c>
    </row>
    <row r="33" customFormat="false" ht="15" hidden="false" customHeight="false" outlineLevel="0" collapsed="false">
      <c r="A33" s="21" t="n">
        <v>1928</v>
      </c>
      <c r="B33" s="9"/>
      <c r="C33" s="19" t="n">
        <v>44.3</v>
      </c>
      <c r="D33" s="9"/>
      <c r="E33" s="19" t="n">
        <v>268.8</v>
      </c>
    </row>
    <row r="34" customFormat="false" ht="15" hidden="false" customHeight="false" outlineLevel="0" collapsed="false">
      <c r="A34" s="21" t="n">
        <v>1929</v>
      </c>
      <c r="B34" s="19" t="n">
        <v>20.5</v>
      </c>
      <c r="C34" s="19" t="n">
        <v>44.8</v>
      </c>
      <c r="D34" s="9"/>
      <c r="E34" s="19" t="n">
        <v>302.7</v>
      </c>
    </row>
    <row r="35" customFormat="false" ht="15" hidden="false" customHeight="false" outlineLevel="0" collapsed="false">
      <c r="A35" s="21" t="n">
        <v>1930</v>
      </c>
      <c r="B35" s="19" t="n">
        <v>113.5</v>
      </c>
      <c r="C35" s="19" t="n">
        <v>45.4</v>
      </c>
      <c r="D35" s="19" t="n">
        <v>68.1</v>
      </c>
      <c r="E35" s="19" t="n">
        <v>278.9</v>
      </c>
    </row>
    <row r="36" customFormat="false" ht="15" hidden="false" customHeight="false" outlineLevel="0" collapsed="false">
      <c r="A36" s="21" t="n">
        <v>1931</v>
      </c>
      <c r="B36" s="19" t="n">
        <v>146.6</v>
      </c>
      <c r="C36" s="19" t="n">
        <v>45.9</v>
      </c>
      <c r="D36" s="19" t="n">
        <v>100.7</v>
      </c>
      <c r="E36" s="19" t="n">
        <v>303.2</v>
      </c>
    </row>
    <row r="37" customFormat="false" ht="15" hidden="false" customHeight="false" outlineLevel="0" collapsed="false">
      <c r="A37" s="21" t="n">
        <v>1932</v>
      </c>
      <c r="B37" s="19" t="n">
        <v>123.7</v>
      </c>
      <c r="C37" s="19" t="n">
        <v>46.8</v>
      </c>
      <c r="D37" s="19" t="n">
        <v>76.9</v>
      </c>
      <c r="E37" s="19" t="n">
        <v>244</v>
      </c>
    </row>
    <row r="38" customFormat="false" ht="15" hidden="false" customHeight="false" outlineLevel="0" collapsed="false">
      <c r="A38" s="21" t="n">
        <v>1933</v>
      </c>
      <c r="B38" s="19" t="n">
        <v>123.7</v>
      </c>
      <c r="C38" s="19" t="n">
        <v>47.1</v>
      </c>
      <c r="D38" s="19" t="n">
        <v>76.6</v>
      </c>
      <c r="E38" s="19" t="n">
        <v>246.8</v>
      </c>
    </row>
    <row r="39" customFormat="false" ht="15" hidden="false" customHeight="false" outlineLevel="0" collapsed="false">
      <c r="A39" s="21" t="n">
        <v>1934</v>
      </c>
      <c r="B39" s="19" t="n">
        <v>123.7</v>
      </c>
      <c r="C39" s="19" t="n">
        <v>47.2</v>
      </c>
      <c r="D39" s="19" t="n">
        <v>76.5</v>
      </c>
      <c r="E39" s="19" t="n">
        <v>273.8</v>
      </c>
    </row>
    <row r="41" customFormat="false" ht="279.85" hidden="false" customHeight="false" outlineLevel="0" collapsed="false">
      <c r="A41" s="15" t="s">
        <v>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6"/>
    <col collapsed="false" customWidth="true" hidden="false" outlineLevel="0" max="4" min="4" style="0" width="14"/>
    <col collapsed="false" customWidth="true" hidden="false" outlineLevel="0" max="5" min="5" style="0" width="22"/>
  </cols>
  <sheetData>
    <row r="1" customFormat="false" ht="16.15" hidden="false" customHeight="false" outlineLevel="0" collapsed="false">
      <c r="A1" s="4" t="s">
        <v>616</v>
      </c>
    </row>
    <row r="2" customFormat="false" ht="15" hidden="false" customHeight="false" outlineLevel="0" collapsed="false">
      <c r="A2" s="7" t="s">
        <v>617</v>
      </c>
    </row>
    <row r="4" customFormat="false" ht="26.85" hidden="false" customHeight="false" outlineLevel="0" collapsed="false">
      <c r="A4" s="8" t="s">
        <v>506</v>
      </c>
      <c r="B4" s="8" t="s">
        <v>618</v>
      </c>
      <c r="C4" s="8" t="s">
        <v>619</v>
      </c>
      <c r="D4" s="8" t="s">
        <v>620</v>
      </c>
      <c r="E4" s="8" t="s">
        <v>621</v>
      </c>
    </row>
    <row r="5" customFormat="false" ht="15" hidden="false" customHeight="false" outlineLevel="0" collapsed="false">
      <c r="A5" s="21" t="n">
        <v>1900</v>
      </c>
      <c r="B5" s="9"/>
      <c r="C5" s="19" t="n">
        <v>14.6</v>
      </c>
      <c r="D5" s="9"/>
      <c r="E5" s="9"/>
    </row>
    <row r="6" customFormat="false" ht="15" hidden="false" customHeight="false" outlineLevel="0" collapsed="false">
      <c r="A6" s="21" t="n">
        <v>1901</v>
      </c>
      <c r="B6" s="9"/>
      <c r="C6" s="19" t="n">
        <v>12.4</v>
      </c>
      <c r="D6" s="9"/>
      <c r="E6" s="9"/>
    </row>
    <row r="7" customFormat="false" ht="15" hidden="false" customHeight="false" outlineLevel="0" collapsed="false">
      <c r="A7" s="21" t="n">
        <v>1902</v>
      </c>
      <c r="B7" s="9"/>
      <c r="C7" s="19" t="n">
        <v>11.5</v>
      </c>
      <c r="D7" s="9"/>
      <c r="E7" s="9"/>
    </row>
    <row r="8" customFormat="false" ht="15" hidden="false" customHeight="false" outlineLevel="0" collapsed="false">
      <c r="A8" s="21" t="n">
        <v>1903</v>
      </c>
      <c r="B8" s="9"/>
      <c r="C8" s="19" t="n">
        <v>6</v>
      </c>
      <c r="D8" s="9"/>
      <c r="E8" s="9"/>
    </row>
    <row r="9" customFormat="false" ht="15" hidden="false" customHeight="false" outlineLevel="0" collapsed="false">
      <c r="A9" s="21" t="n">
        <v>1904</v>
      </c>
      <c r="B9" s="9"/>
      <c r="C9" s="19" t="n">
        <v>5.2</v>
      </c>
      <c r="D9" s="9"/>
      <c r="E9" s="9"/>
    </row>
    <row r="10" customFormat="false" ht="15" hidden="false" customHeight="false" outlineLevel="0" collapsed="false">
      <c r="A10" s="21" t="n">
        <v>1905</v>
      </c>
      <c r="B10" s="9"/>
      <c r="C10" s="19" t="n">
        <v>0</v>
      </c>
      <c r="D10" s="9"/>
      <c r="E10" s="9"/>
    </row>
    <row r="11" customFormat="false" ht="15" hidden="false" customHeight="false" outlineLevel="0" collapsed="false">
      <c r="A11" s="21" t="n">
        <v>1906</v>
      </c>
      <c r="B11" s="9"/>
      <c r="C11" s="19" t="n">
        <v>0</v>
      </c>
      <c r="D11" s="9"/>
      <c r="E11" s="9"/>
    </row>
    <row r="12" customFormat="false" ht="15" hidden="false" customHeight="false" outlineLevel="0" collapsed="false">
      <c r="A12" s="21" t="n">
        <v>1907</v>
      </c>
      <c r="B12" s="9"/>
      <c r="C12" s="19" t="n">
        <v>0</v>
      </c>
      <c r="D12" s="9"/>
      <c r="E12" s="9"/>
    </row>
    <row r="13" customFormat="false" ht="15" hidden="false" customHeight="false" outlineLevel="0" collapsed="false">
      <c r="A13" s="21" t="n">
        <v>1908</v>
      </c>
      <c r="B13" s="9"/>
      <c r="C13" s="19" t="n">
        <v>37.7</v>
      </c>
      <c r="D13" s="9"/>
      <c r="E13" s="9"/>
    </row>
    <row r="14" customFormat="false" ht="15" hidden="false" customHeight="false" outlineLevel="0" collapsed="false">
      <c r="A14" s="21" t="n">
        <v>1909</v>
      </c>
      <c r="B14" s="9"/>
      <c r="C14" s="19" t="n">
        <v>1.3</v>
      </c>
      <c r="D14" s="9"/>
      <c r="E14" s="9"/>
    </row>
    <row r="15" customFormat="false" ht="15" hidden="false" customHeight="false" outlineLevel="0" collapsed="false">
      <c r="A15" s="21" t="n">
        <v>1910</v>
      </c>
      <c r="B15" s="9"/>
      <c r="C15" s="19" t="n">
        <v>1.3</v>
      </c>
      <c r="D15" s="9"/>
      <c r="E15" s="9"/>
    </row>
    <row r="16" customFormat="false" ht="15" hidden="false" customHeight="false" outlineLevel="0" collapsed="false">
      <c r="A16" s="21" t="n">
        <v>1911</v>
      </c>
      <c r="B16" s="9"/>
      <c r="C16" s="19" t="n">
        <v>1.3</v>
      </c>
      <c r="D16" s="9"/>
      <c r="E16" s="9"/>
    </row>
    <row r="17" customFormat="false" ht="15" hidden="false" customHeight="false" outlineLevel="0" collapsed="false">
      <c r="A17" s="21" t="n">
        <v>1912</v>
      </c>
      <c r="B17" s="9"/>
      <c r="C17" s="19" t="n">
        <v>1.3</v>
      </c>
      <c r="D17" s="9"/>
      <c r="E17" s="9"/>
    </row>
    <row r="18" customFormat="false" ht="15" hidden="false" customHeight="false" outlineLevel="0" collapsed="false">
      <c r="A18" s="21" t="n">
        <v>1913</v>
      </c>
      <c r="B18" s="9"/>
      <c r="C18" s="19" t="n">
        <v>1.3</v>
      </c>
      <c r="D18" s="9"/>
      <c r="E18" s="9"/>
    </row>
    <row r="19" customFormat="false" ht="15" hidden="false" customHeight="false" outlineLevel="0" collapsed="false">
      <c r="A19" s="21" t="n">
        <v>1914</v>
      </c>
      <c r="B19" s="19" t="n">
        <v>0</v>
      </c>
      <c r="C19" s="9"/>
      <c r="D19" s="9"/>
      <c r="E19" s="9"/>
    </row>
    <row r="20" customFormat="false" ht="15" hidden="false" customHeight="false" outlineLevel="0" collapsed="false">
      <c r="A20" s="21" t="n">
        <v>1915</v>
      </c>
      <c r="B20" s="19" t="n">
        <v>0</v>
      </c>
      <c r="C20" s="9"/>
      <c r="D20" s="9"/>
      <c r="E20" s="9"/>
    </row>
    <row r="21" customFormat="false" ht="15" hidden="false" customHeight="false" outlineLevel="0" collapsed="false">
      <c r="A21" s="21" t="n">
        <v>1916</v>
      </c>
      <c r="B21" s="19" t="n">
        <v>0</v>
      </c>
      <c r="C21" s="19" t="n">
        <v>21.3</v>
      </c>
      <c r="D21" s="9"/>
      <c r="E21" s="9"/>
    </row>
    <row r="22" customFormat="false" ht="15" hidden="false" customHeight="false" outlineLevel="0" collapsed="false">
      <c r="A22" s="21" t="n">
        <v>1917</v>
      </c>
      <c r="B22" s="19" t="n">
        <v>73.4</v>
      </c>
      <c r="C22" s="19" t="n">
        <v>44</v>
      </c>
      <c r="D22" s="9"/>
      <c r="E22" s="9"/>
    </row>
    <row r="23" customFormat="false" ht="15" hidden="false" customHeight="false" outlineLevel="0" collapsed="false">
      <c r="A23" s="21" t="n">
        <v>1918</v>
      </c>
      <c r="B23" s="19" t="n">
        <v>454.5</v>
      </c>
      <c r="C23" s="19" t="n">
        <v>42.6</v>
      </c>
      <c r="D23" s="9"/>
      <c r="E23" s="9"/>
    </row>
    <row r="24" customFormat="false" ht="15" hidden="false" customHeight="false" outlineLevel="0" collapsed="false">
      <c r="A24" s="21" t="n">
        <v>1919</v>
      </c>
      <c r="B24" s="19" t="n">
        <v>361.5</v>
      </c>
      <c r="C24" s="19" t="n">
        <v>43</v>
      </c>
      <c r="D24" s="9"/>
      <c r="E24" s="9"/>
    </row>
    <row r="25" customFormat="false" ht="15" hidden="false" customHeight="false" outlineLevel="0" collapsed="false">
      <c r="A25" s="21" t="n">
        <v>1920</v>
      </c>
      <c r="B25" s="19" t="n">
        <v>338.4</v>
      </c>
      <c r="C25" s="19" t="n">
        <v>47.7</v>
      </c>
      <c r="D25" s="9"/>
      <c r="E25" s="9"/>
    </row>
    <row r="26" customFormat="false" ht="15" hidden="false" customHeight="false" outlineLevel="0" collapsed="false">
      <c r="A26" s="21" t="n">
        <v>1921</v>
      </c>
      <c r="B26" s="19" t="n">
        <v>147.8</v>
      </c>
      <c r="C26" s="19" t="n">
        <v>48.4</v>
      </c>
      <c r="D26" s="9"/>
      <c r="E26" s="9"/>
    </row>
    <row r="27" customFormat="false" ht="15" hidden="false" customHeight="false" outlineLevel="0" collapsed="false">
      <c r="A27" s="21" t="n">
        <v>1922</v>
      </c>
      <c r="B27" s="19" t="n">
        <v>150.9</v>
      </c>
      <c r="C27" s="19" t="n">
        <v>43.4</v>
      </c>
      <c r="D27" s="9"/>
      <c r="E27" s="9"/>
    </row>
    <row r="28" customFormat="false" ht="15" hidden="false" customHeight="false" outlineLevel="0" collapsed="false">
      <c r="A28" s="21" t="n">
        <v>1923</v>
      </c>
      <c r="B28" s="19" t="n">
        <v>152.7</v>
      </c>
      <c r="C28" s="19" t="n">
        <v>46.5</v>
      </c>
      <c r="D28" s="9"/>
      <c r="E28" s="9"/>
    </row>
    <row r="29" customFormat="false" ht="15" hidden="false" customHeight="false" outlineLevel="0" collapsed="false">
      <c r="A29" s="21" t="n">
        <v>1924</v>
      </c>
      <c r="B29" s="19" t="n">
        <v>154.6</v>
      </c>
      <c r="C29" s="19" t="n">
        <v>41.2</v>
      </c>
      <c r="D29" s="9"/>
      <c r="E29" s="9"/>
    </row>
    <row r="30" customFormat="false" ht="15" hidden="false" customHeight="false" outlineLevel="0" collapsed="false">
      <c r="A30" s="21" t="n">
        <v>1925</v>
      </c>
      <c r="B30" s="19" t="n">
        <v>84.6</v>
      </c>
      <c r="C30" s="19" t="n">
        <v>39.8</v>
      </c>
      <c r="D30" s="9"/>
      <c r="E30" s="9"/>
    </row>
    <row r="31" customFormat="false" ht="15" hidden="false" customHeight="false" outlineLevel="0" collapsed="false">
      <c r="A31" s="21" t="n">
        <v>1926</v>
      </c>
      <c r="B31" s="19" t="n">
        <v>86.7</v>
      </c>
      <c r="C31" s="19" t="n">
        <v>39.2</v>
      </c>
      <c r="D31" s="9"/>
      <c r="E31" s="9"/>
    </row>
    <row r="32" customFormat="false" ht="15" hidden="false" customHeight="false" outlineLevel="0" collapsed="false">
      <c r="A32" s="21" t="n">
        <v>1927</v>
      </c>
      <c r="B32" s="19" t="n">
        <v>76.1</v>
      </c>
      <c r="C32" s="19" t="n">
        <v>38.3</v>
      </c>
      <c r="D32" s="19" t="n">
        <v>1.5</v>
      </c>
      <c r="E32" s="19" t="n">
        <v>15.9</v>
      </c>
    </row>
    <row r="33" customFormat="false" ht="15" hidden="false" customHeight="false" outlineLevel="0" collapsed="false">
      <c r="A33" s="21" t="n">
        <v>1928</v>
      </c>
      <c r="B33" s="19" t="n">
        <v>70.1</v>
      </c>
      <c r="C33" s="19" t="n">
        <v>38.4</v>
      </c>
      <c r="D33" s="19" t="n">
        <v>16.7</v>
      </c>
      <c r="E33" s="19" t="n">
        <v>15.9</v>
      </c>
    </row>
    <row r="34" customFormat="false" ht="15" hidden="false" customHeight="false" outlineLevel="0" collapsed="false">
      <c r="A34" s="21" t="n">
        <v>1929</v>
      </c>
      <c r="B34" s="19" t="n">
        <v>71.4</v>
      </c>
      <c r="C34" s="19" t="n">
        <v>49.5</v>
      </c>
      <c r="D34" s="19" t="n">
        <v>22.2</v>
      </c>
      <c r="E34" s="19" t="n">
        <v>15.9</v>
      </c>
    </row>
    <row r="35" customFormat="false" ht="15" hidden="false" customHeight="false" outlineLevel="0" collapsed="false">
      <c r="A35" s="21" t="n">
        <v>1930</v>
      </c>
      <c r="B35" s="19" t="n">
        <v>67.4</v>
      </c>
      <c r="C35" s="19" t="n">
        <v>49.3</v>
      </c>
      <c r="D35" s="19" t="n">
        <v>27.2</v>
      </c>
      <c r="E35" s="19" t="n">
        <v>15.9</v>
      </c>
    </row>
    <row r="36" customFormat="false" ht="15" hidden="false" customHeight="false" outlineLevel="0" collapsed="false">
      <c r="A36" s="21" t="n">
        <v>1931</v>
      </c>
      <c r="B36" s="19" t="n">
        <v>94.4</v>
      </c>
      <c r="C36" s="19" t="n">
        <v>60.4</v>
      </c>
      <c r="D36" s="19" t="n">
        <v>31.6</v>
      </c>
      <c r="E36" s="19" t="n">
        <v>15.9</v>
      </c>
    </row>
    <row r="37" customFormat="false" ht="15" hidden="false" customHeight="false" outlineLevel="0" collapsed="false">
      <c r="A37" s="21" t="n">
        <v>1932</v>
      </c>
      <c r="B37" s="19" t="n">
        <v>94.9</v>
      </c>
      <c r="C37" s="19" t="n">
        <v>38.8</v>
      </c>
      <c r="D37" s="19" t="n">
        <v>36.6</v>
      </c>
      <c r="E37" s="19" t="n">
        <v>15.9</v>
      </c>
    </row>
    <row r="38" customFormat="false" ht="15" hidden="false" customHeight="false" outlineLevel="0" collapsed="false">
      <c r="A38" s="21" t="n">
        <v>1933</v>
      </c>
      <c r="B38" s="19" t="n">
        <v>336.2</v>
      </c>
      <c r="C38" s="19" t="n">
        <v>38.8</v>
      </c>
      <c r="D38" s="19" t="n">
        <v>40.9</v>
      </c>
      <c r="E38" s="19" t="n">
        <v>15.9</v>
      </c>
    </row>
    <row r="39" customFormat="false" ht="15" hidden="false" customHeight="false" outlineLevel="0" collapsed="false">
      <c r="A39" s="21" t="n">
        <v>1934</v>
      </c>
      <c r="B39" s="19" t="n">
        <v>349</v>
      </c>
      <c r="C39" s="19" t="n">
        <v>38.8</v>
      </c>
      <c r="D39" s="19" t="n">
        <v>45.3</v>
      </c>
      <c r="E39" s="19" t="n">
        <v>15.9</v>
      </c>
    </row>
    <row r="41" customFormat="false" ht="297.75" hidden="false" customHeight="false" outlineLevel="0" collapsed="false">
      <c r="A41" s="15" t="s">
        <v>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6"/>
  </cols>
  <sheetData>
    <row r="1" customFormat="false" ht="16.15" hidden="false" customHeight="false" outlineLevel="0" collapsed="false">
      <c r="A1" s="4" t="s">
        <v>623</v>
      </c>
    </row>
    <row r="2" customFormat="false" ht="15" hidden="false" customHeight="false" outlineLevel="0" collapsed="false">
      <c r="A2" s="7" t="s">
        <v>624</v>
      </c>
    </row>
    <row r="4" customFormat="false" ht="39.55" hidden="false" customHeight="false" outlineLevel="0" collapsed="false">
      <c r="A4" s="8" t="s">
        <v>63</v>
      </c>
      <c r="B4" s="8" t="s">
        <v>625</v>
      </c>
      <c r="C4" s="8" t="s">
        <v>626</v>
      </c>
      <c r="D4" s="8" t="s">
        <v>627</v>
      </c>
      <c r="E4" s="8" t="s">
        <v>628</v>
      </c>
    </row>
    <row r="5" customFormat="false" ht="15" hidden="false" customHeight="false" outlineLevel="0" collapsed="false">
      <c r="A5" s="22" t="s">
        <v>629</v>
      </c>
      <c r="B5" s="23" t="n">
        <v>0.074</v>
      </c>
      <c r="C5" s="23" t="n">
        <v>-0.394</v>
      </c>
      <c r="D5" s="23" t="n">
        <v>-0.161</v>
      </c>
      <c r="E5" s="23" t="n">
        <v>-0.17</v>
      </c>
    </row>
    <row r="6" customFormat="false" ht="15" hidden="false" customHeight="false" outlineLevel="0" collapsed="false">
      <c r="A6" s="9" t="s">
        <v>630</v>
      </c>
      <c r="B6" s="20" t="n">
        <v>0.009</v>
      </c>
      <c r="C6" s="20" t="n">
        <v>-0.031</v>
      </c>
      <c r="D6" s="20" t="n">
        <v>-0.024</v>
      </c>
      <c r="E6" s="20" t="n">
        <v>-0.015</v>
      </c>
    </row>
    <row r="7" customFormat="false" ht="15" hidden="false" customHeight="false" outlineLevel="0" collapsed="false">
      <c r="A7" s="9" t="s">
        <v>631</v>
      </c>
      <c r="B7" s="20" t="n">
        <v>-0.001</v>
      </c>
      <c r="C7" s="20" t="n">
        <v>-0.037</v>
      </c>
      <c r="D7" s="20" t="n">
        <v>-0.023</v>
      </c>
      <c r="E7" s="20" t="n">
        <v>-0.02</v>
      </c>
    </row>
    <row r="8" customFormat="false" ht="15" hidden="false" customHeight="false" outlineLevel="0" collapsed="false">
      <c r="A8" s="9" t="s">
        <v>632</v>
      </c>
      <c r="B8" s="20" t="n">
        <v>-0.02</v>
      </c>
      <c r="C8" s="20" t="n">
        <v>-0.235</v>
      </c>
      <c r="D8" s="20" t="n">
        <v>-0.089</v>
      </c>
      <c r="E8" s="20" t="n">
        <v>-0.12</v>
      </c>
    </row>
    <row r="9" customFormat="false" ht="15" hidden="false" customHeight="false" outlineLevel="0" collapsed="false">
      <c r="A9" s="9" t="s">
        <v>633</v>
      </c>
      <c r="B9" s="20" t="n">
        <v>0.087</v>
      </c>
      <c r="C9" s="20" t="n">
        <v>-0.151</v>
      </c>
      <c r="D9" s="20" t="n">
        <v>-0.035</v>
      </c>
      <c r="E9" s="20" t="n">
        <v>-0.022</v>
      </c>
    </row>
    <row r="10" customFormat="false" ht="15" hidden="false" customHeight="false" outlineLevel="0" collapsed="false">
      <c r="A10" s="22" t="s">
        <v>634</v>
      </c>
      <c r="B10" s="23" t="n">
        <v>0.164</v>
      </c>
      <c r="C10" s="23" t="n">
        <v>0.167</v>
      </c>
      <c r="D10" s="23" t="n">
        <v>0.223</v>
      </c>
      <c r="E10" s="23" t="n">
        <v>0.178</v>
      </c>
    </row>
    <row r="11" customFormat="false" ht="15" hidden="false" customHeight="false" outlineLevel="0" collapsed="false">
      <c r="A11" s="9" t="s">
        <v>635</v>
      </c>
      <c r="B11" s="20" t="n">
        <v>0.086</v>
      </c>
      <c r="C11" s="20" t="n">
        <v>0.018</v>
      </c>
      <c r="D11" s="20" t="n">
        <v>0.026</v>
      </c>
      <c r="E11" s="20" t="n">
        <v>0.052</v>
      </c>
    </row>
    <row r="12" customFormat="false" ht="15" hidden="false" customHeight="false" outlineLevel="0" collapsed="false">
      <c r="A12" s="9" t="s">
        <v>636</v>
      </c>
      <c r="B12" s="20" t="n">
        <v>0.023</v>
      </c>
      <c r="C12" s="20" t="n">
        <v>0.066</v>
      </c>
      <c r="D12" s="20" t="n">
        <v>0.072</v>
      </c>
      <c r="E12" s="20" t="n">
        <v>0.046</v>
      </c>
    </row>
    <row r="13" customFormat="false" ht="15" hidden="false" customHeight="false" outlineLevel="0" collapsed="false">
      <c r="A13" s="9" t="s">
        <v>637</v>
      </c>
      <c r="B13" s="20" t="n">
        <v>0.024</v>
      </c>
      <c r="C13" s="20" t="n">
        <v>0.046</v>
      </c>
      <c r="D13" s="20" t="n">
        <v>0.039</v>
      </c>
      <c r="E13" s="20" t="n">
        <v>0.034</v>
      </c>
    </row>
    <row r="14" customFormat="false" ht="15" hidden="false" customHeight="false" outlineLevel="0" collapsed="false">
      <c r="A14" s="9" t="s">
        <v>638</v>
      </c>
      <c r="B14" s="20" t="n">
        <v>0.023</v>
      </c>
      <c r="C14" s="20" t="n">
        <v>0.027</v>
      </c>
      <c r="D14" s="20" t="n">
        <v>0.07</v>
      </c>
      <c r="E14" s="20" t="n">
        <v>0.035</v>
      </c>
    </row>
    <row r="16" customFormat="false" ht="117.9" hidden="false" customHeight="false" outlineLevel="0" collapsed="false">
      <c r="A16" s="15" t="s">
        <v>639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6"/>
  </cols>
  <sheetData>
    <row r="1" customFormat="false" ht="16.15" hidden="false" customHeight="false" outlineLevel="0" collapsed="false">
      <c r="A1" s="4" t="s">
        <v>640</v>
      </c>
    </row>
    <row r="2" customFormat="false" ht="15" hidden="false" customHeight="false" outlineLevel="0" collapsed="false">
      <c r="A2" s="7" t="s">
        <v>641</v>
      </c>
    </row>
    <row r="4" customFormat="false" ht="39.55" hidden="false" customHeight="false" outlineLevel="0" collapsed="false">
      <c r="A4" s="8" t="s">
        <v>63</v>
      </c>
      <c r="B4" s="8" t="s">
        <v>625</v>
      </c>
      <c r="C4" s="8" t="s">
        <v>626</v>
      </c>
      <c r="D4" s="8" t="s">
        <v>627</v>
      </c>
      <c r="E4" s="8" t="s">
        <v>628</v>
      </c>
    </row>
    <row r="5" customFormat="false" ht="15" hidden="false" customHeight="false" outlineLevel="0" collapsed="false">
      <c r="A5" s="22" t="s">
        <v>642</v>
      </c>
      <c r="B5" s="23" t="n">
        <v>-0.049</v>
      </c>
      <c r="C5" s="23" t="n">
        <v>-0.014</v>
      </c>
      <c r="D5" s="23" t="n">
        <v>0.041</v>
      </c>
      <c r="E5" s="23" t="n">
        <v>-0.019</v>
      </c>
    </row>
    <row r="6" customFormat="false" ht="15" hidden="false" customHeight="false" outlineLevel="0" collapsed="false">
      <c r="A6" s="9" t="s">
        <v>643</v>
      </c>
      <c r="B6" s="20" t="n">
        <v>0.001</v>
      </c>
      <c r="C6" s="20" t="n">
        <v>-0.047</v>
      </c>
      <c r="D6" s="20" t="n">
        <v>0.056</v>
      </c>
      <c r="E6" s="20" t="n">
        <v>-0.006</v>
      </c>
    </row>
    <row r="7" customFormat="false" ht="15" hidden="false" customHeight="false" outlineLevel="0" collapsed="false">
      <c r="A7" s="9" t="s">
        <v>644</v>
      </c>
      <c r="B7" s="20" t="n">
        <v>-0.005</v>
      </c>
      <c r="C7" s="20" t="n">
        <v>0.062</v>
      </c>
      <c r="D7" s="20" t="n">
        <v>-0.01</v>
      </c>
      <c r="E7" s="20" t="n">
        <v>0.018</v>
      </c>
    </row>
    <row r="8" customFormat="false" ht="15" hidden="false" customHeight="false" outlineLevel="0" collapsed="false">
      <c r="A8" s="9" t="s">
        <v>645</v>
      </c>
      <c r="B8" s="20" t="n">
        <v>-0.021</v>
      </c>
      <c r="C8" s="20" t="n">
        <v>-0.005</v>
      </c>
      <c r="D8" s="20" t="n">
        <v>0.001</v>
      </c>
      <c r="E8" s="20" t="n">
        <v>-0.011</v>
      </c>
    </row>
    <row r="9" customFormat="false" ht="15" hidden="false" customHeight="false" outlineLevel="0" collapsed="false">
      <c r="A9" s="9" t="s">
        <v>646</v>
      </c>
      <c r="B9" s="20" t="n">
        <v>-0.025</v>
      </c>
      <c r="C9" s="20" t="n">
        <v>-0.021</v>
      </c>
      <c r="D9" s="20" t="n">
        <v>-0.005</v>
      </c>
      <c r="E9" s="20" t="n">
        <v>-0.02</v>
      </c>
    </row>
    <row r="10" customFormat="false" ht="15" hidden="false" customHeight="false" outlineLevel="0" collapsed="false">
      <c r="A10" s="22" t="s">
        <v>647</v>
      </c>
      <c r="B10" s="23" t="n">
        <v>-0.017</v>
      </c>
      <c r="C10" s="23" t="n">
        <v>-0.009</v>
      </c>
      <c r="D10" s="23" t="n">
        <v>0.128</v>
      </c>
      <c r="E10" s="23" t="n">
        <v>0.015</v>
      </c>
    </row>
    <row r="11" customFormat="false" ht="15" hidden="false" customHeight="false" outlineLevel="0" collapsed="false">
      <c r="A11" s="9" t="s">
        <v>648</v>
      </c>
      <c r="B11" s="20" t="n">
        <v>0.002</v>
      </c>
      <c r="C11" s="20" t="n">
        <v>-0.011</v>
      </c>
      <c r="D11" s="20" t="n">
        <v>0.048</v>
      </c>
      <c r="E11" s="20" t="n">
        <v>0.007</v>
      </c>
    </row>
    <row r="12" customFormat="false" ht="15" hidden="false" customHeight="false" outlineLevel="0" collapsed="false">
      <c r="A12" s="9" t="s">
        <v>649</v>
      </c>
      <c r="B12" s="20" t="n">
        <v>-0.019</v>
      </c>
      <c r="C12" s="20" t="n">
        <v>-0.008</v>
      </c>
      <c r="D12" s="20" t="n">
        <v>0.018</v>
      </c>
      <c r="E12" s="20" t="n">
        <v>-0.007</v>
      </c>
    </row>
    <row r="13" customFormat="false" ht="15" hidden="false" customHeight="false" outlineLevel="0" collapsed="false">
      <c r="A13" s="9" t="s">
        <v>650</v>
      </c>
      <c r="B13" s="20" t="n">
        <v>0.004</v>
      </c>
      <c r="C13" s="20" t="n">
        <v>0.001</v>
      </c>
      <c r="D13" s="20" t="n">
        <v>0.031</v>
      </c>
      <c r="E13" s="20" t="n">
        <v>0.009</v>
      </c>
    </row>
    <row r="14" customFormat="false" ht="15" hidden="false" customHeight="false" outlineLevel="0" collapsed="false">
      <c r="A14" s="9" t="s">
        <v>651</v>
      </c>
      <c r="B14" s="20" t="n">
        <v>-0.004</v>
      </c>
      <c r="C14" s="20" t="n">
        <v>0.009</v>
      </c>
      <c r="D14" s="20" t="n">
        <v>0.025</v>
      </c>
      <c r="E14" s="20" t="n">
        <v>0.007</v>
      </c>
    </row>
    <row r="15" customFormat="false" ht="15" hidden="false" customHeight="false" outlineLevel="0" collapsed="false">
      <c r="A15" s="22" t="s">
        <v>652</v>
      </c>
      <c r="B15" s="23" t="n">
        <v>-0.102</v>
      </c>
      <c r="C15" s="23" t="n">
        <v>-0.1</v>
      </c>
      <c r="D15" s="23" t="n">
        <v>-0.075</v>
      </c>
      <c r="E15" s="23" t="n">
        <v>-0.095</v>
      </c>
    </row>
    <row r="16" customFormat="false" ht="15" hidden="false" customHeight="false" outlineLevel="0" collapsed="false">
      <c r="A16" s="9" t="s">
        <v>653</v>
      </c>
      <c r="B16" s="20" t="n">
        <v>-0.029</v>
      </c>
      <c r="C16" s="20" t="n">
        <v>-0.01</v>
      </c>
      <c r="D16" s="20" t="n">
        <v>0.017</v>
      </c>
      <c r="E16" s="20" t="n">
        <v>-0.011</v>
      </c>
    </row>
    <row r="17" customFormat="false" ht="15" hidden="false" customHeight="false" outlineLevel="0" collapsed="false">
      <c r="A17" s="9" t="s">
        <v>654</v>
      </c>
      <c r="B17" s="20" t="n">
        <v>0.001</v>
      </c>
      <c r="C17" s="20" t="n">
        <v>-0.035</v>
      </c>
      <c r="D17" s="20" t="n">
        <v>-0.055</v>
      </c>
      <c r="E17" s="20" t="n">
        <v>-0.025</v>
      </c>
    </row>
    <row r="18" customFormat="false" ht="15" hidden="false" customHeight="false" outlineLevel="0" collapsed="false">
      <c r="A18" s="9" t="s">
        <v>655</v>
      </c>
      <c r="B18" s="20" t="n">
        <v>-0.053</v>
      </c>
      <c r="C18" s="20" t="n">
        <v>-0.028</v>
      </c>
      <c r="D18" s="20" t="n">
        <v>-0.012</v>
      </c>
      <c r="E18" s="20" t="n">
        <v>-0.035</v>
      </c>
    </row>
    <row r="19" customFormat="false" ht="15" hidden="false" customHeight="false" outlineLevel="0" collapsed="false">
      <c r="A19" s="9" t="s">
        <v>656</v>
      </c>
      <c r="B19" s="20" t="n">
        <v>-0.025</v>
      </c>
      <c r="C19" s="20" t="n">
        <v>-0.031</v>
      </c>
      <c r="D19" s="20" t="n">
        <v>-0.026</v>
      </c>
      <c r="E19" s="20" t="n">
        <v>-0.027</v>
      </c>
    </row>
    <row r="20" customFormat="false" ht="15" hidden="false" customHeight="false" outlineLevel="0" collapsed="false">
      <c r="A20" s="22" t="s">
        <v>657</v>
      </c>
      <c r="B20" s="23" t="n">
        <v>0.034</v>
      </c>
      <c r="C20" s="23" t="n">
        <v>-0.052</v>
      </c>
      <c r="D20" s="23" t="n">
        <v>0.002</v>
      </c>
      <c r="E20" s="23" t="n">
        <v>-0.004</v>
      </c>
    </row>
    <row r="21" customFormat="false" ht="15" hidden="false" customHeight="false" outlineLevel="0" collapsed="false">
      <c r="A21" s="9" t="s">
        <v>658</v>
      </c>
      <c r="B21" s="20" t="n">
        <v>-0.013</v>
      </c>
      <c r="C21" s="20" t="n">
        <v>-0.013</v>
      </c>
      <c r="D21" s="20" t="n">
        <v>0.001</v>
      </c>
      <c r="E21" s="20" t="n">
        <v>-0.01</v>
      </c>
    </row>
    <row r="22" customFormat="false" ht="15" hidden="false" customHeight="false" outlineLevel="0" collapsed="false">
      <c r="A22" s="9" t="s">
        <v>659</v>
      </c>
      <c r="B22" s="20" t="n">
        <v>0.047</v>
      </c>
      <c r="C22" s="20" t="n">
        <v>-0.028</v>
      </c>
      <c r="D22" s="20" t="n">
        <v>-0.051</v>
      </c>
      <c r="E22" s="20" t="n">
        <v>-0.003</v>
      </c>
    </row>
    <row r="23" customFormat="false" ht="15" hidden="false" customHeight="false" outlineLevel="0" collapsed="false">
      <c r="A23" s="9" t="s">
        <v>660</v>
      </c>
      <c r="B23" s="20" t="n">
        <v>0.033</v>
      </c>
      <c r="C23" s="20" t="n">
        <v>-0.01</v>
      </c>
      <c r="D23" s="20" t="n">
        <v>0.037</v>
      </c>
      <c r="E23" s="20" t="n">
        <v>0.019</v>
      </c>
    </row>
    <row r="24" customFormat="false" ht="15" hidden="false" customHeight="false" outlineLevel="0" collapsed="false">
      <c r="A24" s="9" t="s">
        <v>661</v>
      </c>
      <c r="B24" s="20" t="n">
        <v>-0.032</v>
      </c>
      <c r="C24" s="20" t="n">
        <v>-0.001</v>
      </c>
      <c r="D24" s="20" t="n">
        <v>0.018</v>
      </c>
      <c r="E24" s="20" t="n">
        <v>-0.01</v>
      </c>
    </row>
    <row r="25" customFormat="false" ht="15" hidden="false" customHeight="false" outlineLevel="0" collapsed="false">
      <c r="A25" s="22" t="s">
        <v>662</v>
      </c>
      <c r="B25" s="23" t="n">
        <v>0.051</v>
      </c>
      <c r="C25" s="23" t="n">
        <v>-0.017</v>
      </c>
      <c r="D25" s="23" t="n">
        <v>-0.085</v>
      </c>
      <c r="E25" s="23" t="n">
        <v>-0.004</v>
      </c>
    </row>
    <row r="26" customFormat="false" ht="15" hidden="false" customHeight="false" outlineLevel="0" collapsed="false">
      <c r="A26" s="9" t="s">
        <v>663</v>
      </c>
      <c r="B26" s="20" t="n">
        <v>-0.002</v>
      </c>
      <c r="C26" s="20" t="n">
        <v>-0.003</v>
      </c>
      <c r="D26" s="20" t="n">
        <v>0.019</v>
      </c>
      <c r="E26" s="20" t="n">
        <v>0.002</v>
      </c>
    </row>
    <row r="27" customFormat="false" ht="15" hidden="false" customHeight="false" outlineLevel="0" collapsed="false">
      <c r="A27" s="9" t="s">
        <v>664</v>
      </c>
      <c r="B27" s="20" t="n">
        <v>0.012</v>
      </c>
      <c r="C27" s="20" t="n">
        <v>-0.01</v>
      </c>
      <c r="D27" s="20" t="n">
        <v>-0.001</v>
      </c>
      <c r="E27" s="20" t="n">
        <v>0.001</v>
      </c>
    </row>
    <row r="28" customFormat="false" ht="15" hidden="false" customHeight="false" outlineLevel="0" collapsed="false">
      <c r="A28" s="9" t="s">
        <v>665</v>
      </c>
      <c r="B28" s="20" t="n">
        <v>0.005</v>
      </c>
      <c r="C28" s="20" t="n">
        <v>0.004</v>
      </c>
      <c r="D28" s="20" t="n">
        <v>-0.014</v>
      </c>
      <c r="E28" s="20" t="n">
        <v>0</v>
      </c>
    </row>
    <row r="29" customFormat="false" ht="15" hidden="false" customHeight="false" outlineLevel="0" collapsed="false">
      <c r="A29" s="9" t="s">
        <v>666</v>
      </c>
      <c r="B29" s="20" t="n">
        <v>0.036</v>
      </c>
      <c r="C29" s="20" t="n">
        <v>-0.008</v>
      </c>
      <c r="D29" s="20" t="n">
        <v>-0.088</v>
      </c>
      <c r="E29" s="20" t="n">
        <v>-0.008</v>
      </c>
    </row>
    <row r="30" customFormat="false" ht="15" hidden="false" customHeight="false" outlineLevel="0" collapsed="false">
      <c r="A30" s="22" t="s">
        <v>667</v>
      </c>
      <c r="B30" s="23" t="n">
        <v>-0.022</v>
      </c>
      <c r="C30" s="23" t="n">
        <v>0.022</v>
      </c>
      <c r="D30" s="23" t="n">
        <v>-0.101</v>
      </c>
      <c r="E30" s="23" t="n">
        <v>-0.024</v>
      </c>
    </row>
    <row r="31" customFormat="false" ht="15" hidden="false" customHeight="false" outlineLevel="0" collapsed="false">
      <c r="A31" s="9" t="s">
        <v>668</v>
      </c>
      <c r="B31" s="20" t="n">
        <v>-0.025</v>
      </c>
      <c r="C31" s="20" t="n">
        <v>0.038</v>
      </c>
      <c r="D31" s="20" t="n">
        <v>-0.01</v>
      </c>
      <c r="E31" s="20" t="n">
        <v>0</v>
      </c>
    </row>
    <row r="32" customFormat="false" ht="15" hidden="false" customHeight="false" outlineLevel="0" collapsed="false">
      <c r="A32" s="9" t="s">
        <v>669</v>
      </c>
      <c r="B32" s="20" t="n">
        <v>0.004</v>
      </c>
      <c r="C32" s="20" t="n">
        <v>-0.003</v>
      </c>
      <c r="D32" s="20" t="n">
        <v>-0.02</v>
      </c>
      <c r="E32" s="20" t="n">
        <v>-0.003</v>
      </c>
    </row>
    <row r="33" customFormat="false" ht="15" hidden="false" customHeight="false" outlineLevel="0" collapsed="false">
      <c r="A33" s="9" t="s">
        <v>670</v>
      </c>
      <c r="B33" s="20" t="n">
        <v>0.008</v>
      </c>
      <c r="C33" s="20" t="n">
        <v>0</v>
      </c>
      <c r="D33" s="20" t="n">
        <v>-0.04</v>
      </c>
      <c r="E33" s="20" t="n">
        <v>-0.005</v>
      </c>
    </row>
    <row r="34" customFormat="false" ht="15" hidden="false" customHeight="false" outlineLevel="0" collapsed="false">
      <c r="A34" s="9" t="s">
        <v>671</v>
      </c>
      <c r="B34" s="20" t="n">
        <v>-0.009</v>
      </c>
      <c r="C34" s="20" t="n">
        <v>-0.013</v>
      </c>
      <c r="D34" s="20" t="n">
        <v>-0.035</v>
      </c>
      <c r="E34" s="20" t="n">
        <v>-0.016</v>
      </c>
    </row>
    <row r="36" customFormat="false" ht="126.85" hidden="false" customHeight="false" outlineLevel="0" collapsed="false">
      <c r="A36" s="15" t="s">
        <v>672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26"/>
  </cols>
  <sheetData>
    <row r="1" customFormat="false" ht="16.15" hidden="false" customHeight="false" outlineLevel="0" collapsed="false">
      <c r="A1" s="4" t="s">
        <v>673</v>
      </c>
    </row>
    <row r="2" customFormat="false" ht="15" hidden="false" customHeight="false" outlineLevel="0" collapsed="false">
      <c r="A2" s="7" t="s">
        <v>674</v>
      </c>
    </row>
    <row r="4" customFormat="false" ht="26.85" hidden="false" customHeight="false" outlineLevel="0" collapsed="false">
      <c r="A4" s="8" t="s">
        <v>506</v>
      </c>
      <c r="B4" s="8" t="s">
        <v>675</v>
      </c>
      <c r="C4" s="8" t="s">
        <v>676</v>
      </c>
    </row>
    <row r="5" customFormat="false" ht="15" hidden="false" customHeight="false" outlineLevel="0" collapsed="false">
      <c r="A5" s="9" t="n">
        <v>1929</v>
      </c>
      <c r="B5" s="20" t="n">
        <v>1</v>
      </c>
      <c r="C5" s="20" t="n">
        <v>0</v>
      </c>
    </row>
    <row r="6" customFormat="false" ht="15" hidden="false" customHeight="false" outlineLevel="0" collapsed="false">
      <c r="A6" s="9" t="n">
        <v>1930</v>
      </c>
      <c r="B6" s="20" t="n">
        <v>1</v>
      </c>
      <c r="C6" s="20" t="n">
        <v>0</v>
      </c>
    </row>
    <row r="7" customFormat="false" ht="15" hidden="false" customHeight="false" outlineLevel="0" collapsed="false">
      <c r="A7" s="9" t="n">
        <v>1931</v>
      </c>
      <c r="B7" s="20" t="n">
        <v>0</v>
      </c>
      <c r="C7" s="20" t="n">
        <v>1</v>
      </c>
    </row>
    <row r="8" customFormat="false" ht="15" hidden="false" customHeight="false" outlineLevel="0" collapsed="false">
      <c r="A8" s="9" t="n">
        <v>1932</v>
      </c>
      <c r="B8" s="20" t="n">
        <v>0.065</v>
      </c>
      <c r="C8" s="20" t="n">
        <v>0.935</v>
      </c>
    </row>
    <row r="9" customFormat="false" ht="15" hidden="false" customHeight="false" outlineLevel="0" collapsed="false">
      <c r="A9" s="9" t="n">
        <v>1933</v>
      </c>
      <c r="B9" s="20" t="n">
        <v>0.294</v>
      </c>
      <c r="C9" s="20" t="n">
        <v>0.706</v>
      </c>
    </row>
    <row r="10" customFormat="false" ht="15" hidden="false" customHeight="false" outlineLevel="0" collapsed="false">
      <c r="A10" s="9" t="n">
        <v>1934</v>
      </c>
      <c r="B10" s="20" t="n">
        <v>0.417</v>
      </c>
      <c r="C10" s="20" t="n">
        <v>0.583</v>
      </c>
    </row>
    <row r="12" customFormat="false" ht="234.3" hidden="false" customHeight="false" outlineLevel="0" collapsed="false">
      <c r="A12" s="15" t="s">
        <v>677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6"/>
    <col collapsed="false" customWidth="true" hidden="false" outlineLevel="0" max="3" min="3" style="0" width="20"/>
    <col collapsed="false" customWidth="true" hidden="false" outlineLevel="0" max="4" min="4" style="0" width="22"/>
    <col collapsed="false" customWidth="true" hidden="false" outlineLevel="0" max="5" min="5" style="0" width="20"/>
    <col collapsed="false" customWidth="true" hidden="false" outlineLevel="0" max="6" min="6" style="0" width="22"/>
    <col collapsed="false" customWidth="true" hidden="false" outlineLevel="0" max="7" min="7" style="0" width="14"/>
  </cols>
  <sheetData>
    <row r="1" customFormat="false" ht="16.15" hidden="false" customHeight="false" outlineLevel="0" collapsed="false">
      <c r="A1" s="4" t="s">
        <v>678</v>
      </c>
    </row>
    <row r="2" customFormat="false" ht="25.5" hidden="false" customHeight="true" outlineLevel="0" collapsed="false">
      <c r="A2" s="7" t="s">
        <v>679</v>
      </c>
    </row>
    <row r="4" customFormat="false" ht="39.55" hidden="false" customHeight="false" outlineLevel="0" collapsed="false">
      <c r="A4" s="8" t="s">
        <v>63</v>
      </c>
      <c r="B4" s="8" t="s">
        <v>680</v>
      </c>
      <c r="C4" s="8" t="s">
        <v>681</v>
      </c>
      <c r="D4" s="8" t="s">
        <v>682</v>
      </c>
      <c r="E4" s="8" t="s">
        <v>683</v>
      </c>
      <c r="F4" s="8" t="s">
        <v>684</v>
      </c>
      <c r="G4" s="8" t="s">
        <v>685</v>
      </c>
    </row>
    <row r="5" customFormat="false" ht="15" hidden="false" customHeight="false" outlineLevel="0" collapsed="false">
      <c r="A5" s="9" t="s">
        <v>686</v>
      </c>
      <c r="B5" s="24" t="n">
        <v>0.48</v>
      </c>
      <c r="C5" s="24"/>
      <c r="D5" s="24"/>
      <c r="E5" s="24" t="n">
        <v>0.33</v>
      </c>
      <c r="F5" s="24"/>
      <c r="G5" s="9" t="s">
        <v>687</v>
      </c>
    </row>
    <row r="6" customFormat="false" ht="15" hidden="false" customHeight="false" outlineLevel="0" collapsed="false">
      <c r="A6" s="9" t="s">
        <v>688</v>
      </c>
      <c r="B6" s="24" t="n">
        <v>0.46</v>
      </c>
      <c r="C6" s="24" t="n">
        <v>0.47</v>
      </c>
      <c r="D6" s="24" t="n">
        <v>0.69</v>
      </c>
      <c r="E6" s="24" t="n">
        <v>0.36</v>
      </c>
      <c r="F6" s="24" t="n">
        <v>0.34</v>
      </c>
      <c r="G6" s="9" t="s">
        <v>689</v>
      </c>
    </row>
    <row r="7" customFormat="false" ht="15" hidden="false" customHeight="false" outlineLevel="0" collapsed="false">
      <c r="A7" s="9" t="s">
        <v>690</v>
      </c>
      <c r="B7" s="24" t="n">
        <v>0.27</v>
      </c>
      <c r="C7" s="24" t="n">
        <v>0.33</v>
      </c>
      <c r="D7" s="24" t="n">
        <v>0.59</v>
      </c>
      <c r="E7" s="24" t="n">
        <v>0.29</v>
      </c>
      <c r="F7" s="24" t="n">
        <v>0.26</v>
      </c>
      <c r="G7" s="9" t="s">
        <v>691</v>
      </c>
    </row>
    <row r="8" customFormat="false" ht="15" hidden="false" customHeight="false" outlineLevel="0" collapsed="false">
      <c r="A8" s="9" t="s">
        <v>692</v>
      </c>
      <c r="B8" s="24" t="n">
        <v>0.15</v>
      </c>
      <c r="C8" s="24" t="n">
        <v>0.21</v>
      </c>
      <c r="D8" s="24" t="n">
        <v>0.57</v>
      </c>
      <c r="E8" s="24" t="n">
        <v>0.23</v>
      </c>
      <c r="F8" s="24" t="n">
        <v>0.11</v>
      </c>
      <c r="G8" s="9" t="s">
        <v>693</v>
      </c>
    </row>
    <row r="10" customFormat="false" ht="82.05" hidden="false" customHeight="false" outlineLevel="0" collapsed="false">
      <c r="A10" s="15" t="s">
        <v>694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0"/>
    <col collapsed="false" customWidth="true" hidden="false" outlineLevel="0" max="3" min="3" style="0" width="18"/>
    <col collapsed="false" customWidth="true" hidden="false" outlineLevel="0" max="4" min="4" style="0" width="20"/>
    <col collapsed="false" customWidth="true" hidden="false" outlineLevel="0" max="5" min="5" style="0" width="18"/>
    <col collapsed="false" customWidth="true" hidden="false" outlineLevel="0" max="6" min="6" style="0" width="14"/>
  </cols>
  <sheetData>
    <row r="1" customFormat="false" ht="16.15" hidden="false" customHeight="false" outlineLevel="0" collapsed="false">
      <c r="A1" s="4" t="s">
        <v>695</v>
      </c>
    </row>
    <row r="2" customFormat="false" ht="15" hidden="false" customHeight="false" outlineLevel="0" collapsed="false">
      <c r="A2" s="7" t="s">
        <v>696</v>
      </c>
    </row>
    <row r="4" customFormat="false" ht="39.55" hidden="false" customHeight="false" outlineLevel="0" collapsed="false">
      <c r="A4" s="8" t="s">
        <v>63</v>
      </c>
      <c r="B4" s="8" t="s">
        <v>697</v>
      </c>
      <c r="C4" s="8" t="s">
        <v>698</v>
      </c>
      <c r="D4" s="8" t="s">
        <v>699</v>
      </c>
      <c r="E4" s="8" t="s">
        <v>700</v>
      </c>
      <c r="F4" s="8" t="s">
        <v>685</v>
      </c>
    </row>
    <row r="5" customFormat="false" ht="15" hidden="false" customHeight="false" outlineLevel="0" collapsed="false">
      <c r="A5" s="9" t="s">
        <v>686</v>
      </c>
      <c r="B5" s="20" t="n">
        <v>0.144</v>
      </c>
      <c r="C5" s="20" t="n">
        <v>0.0803</v>
      </c>
      <c r="D5" s="20" t="n">
        <v>0.056</v>
      </c>
      <c r="E5" s="20" t="n">
        <v>0.169</v>
      </c>
      <c r="F5" s="9" t="s">
        <v>701</v>
      </c>
    </row>
    <row r="6" customFormat="false" ht="15" hidden="false" customHeight="false" outlineLevel="0" collapsed="false">
      <c r="A6" s="9" t="s">
        <v>688</v>
      </c>
      <c r="B6" s="20" t="n">
        <v>0.192</v>
      </c>
      <c r="C6" s="20" t="n">
        <v>0.214</v>
      </c>
      <c r="D6" s="20" t="n">
        <v>0.143</v>
      </c>
      <c r="E6" s="20" t="n">
        <v>0.362</v>
      </c>
      <c r="F6" s="9" t="s">
        <v>702</v>
      </c>
    </row>
    <row r="7" customFormat="false" ht="15" hidden="false" customHeight="false" outlineLevel="0" collapsed="false">
      <c r="A7" s="9" t="s">
        <v>690</v>
      </c>
      <c r="B7" s="20" t="n">
        <v>0.069</v>
      </c>
      <c r="C7" s="20"/>
      <c r="D7" s="20" t="n">
        <v>0.06</v>
      </c>
      <c r="E7" s="20"/>
      <c r="F7" s="9" t="s">
        <v>316</v>
      </c>
    </row>
    <row r="8" customFormat="false" ht="15" hidden="false" customHeight="false" outlineLevel="0" collapsed="false">
      <c r="A8" s="9" t="s">
        <v>703</v>
      </c>
      <c r="B8" s="20" t="n">
        <v>-0.11</v>
      </c>
      <c r="C8" s="20" t="n">
        <v>0.27</v>
      </c>
      <c r="D8" s="20" t="n">
        <v>-0.07</v>
      </c>
      <c r="E8" s="20" t="n">
        <v>0.3</v>
      </c>
      <c r="F8" s="9" t="s">
        <v>393</v>
      </c>
    </row>
    <row r="9" customFormat="false" ht="15" hidden="false" customHeight="false" outlineLevel="0" collapsed="false">
      <c r="A9" s="9" t="s">
        <v>704</v>
      </c>
      <c r="B9" s="20" t="n">
        <v>0.07</v>
      </c>
      <c r="C9" s="20" t="n">
        <v>0.32</v>
      </c>
      <c r="D9" s="20" t="n">
        <v>0.07</v>
      </c>
      <c r="E9" s="20" t="n">
        <v>0.28</v>
      </c>
      <c r="F9" s="9" t="s">
        <v>393</v>
      </c>
    </row>
    <row r="11" customFormat="false" ht="73.1" hidden="false" customHeight="false" outlineLevel="0" collapsed="false">
      <c r="A11" s="15" t="s">
        <v>705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4" min="2" style="0" width="16"/>
    <col collapsed="false" customWidth="true" hidden="false" outlineLevel="0" max="5" min="5" style="0" width="18"/>
    <col collapsed="false" customWidth="true" hidden="false" outlineLevel="0" max="6" min="6" style="0" width="14"/>
    <col collapsed="false" customWidth="true" hidden="false" outlineLevel="0" max="7" min="7" style="0" width="40"/>
  </cols>
  <sheetData>
    <row r="1" customFormat="false" ht="16.15" hidden="false" customHeight="false" outlineLevel="0" collapsed="false">
      <c r="A1" s="4" t="s">
        <v>706</v>
      </c>
    </row>
    <row r="2" customFormat="false" ht="15" hidden="false" customHeight="false" outlineLevel="0" collapsed="false">
      <c r="A2" s="7" t="s">
        <v>707</v>
      </c>
    </row>
    <row r="4" customFormat="false" ht="26.85" hidden="false" customHeight="false" outlineLevel="0" collapsed="false">
      <c r="A4" s="8" t="s">
        <v>708</v>
      </c>
      <c r="B4" s="8" t="s">
        <v>709</v>
      </c>
      <c r="C4" s="8" t="s">
        <v>710</v>
      </c>
      <c r="D4" s="8" t="s">
        <v>711</v>
      </c>
      <c r="E4" s="8" t="s">
        <v>712</v>
      </c>
      <c r="F4" s="8" t="s">
        <v>685</v>
      </c>
      <c r="G4" s="8" t="s">
        <v>713</v>
      </c>
    </row>
    <row r="5" customFormat="false" ht="15" hidden="false" customHeight="false" outlineLevel="0" collapsed="false">
      <c r="A5" s="9" t="s">
        <v>714</v>
      </c>
      <c r="B5" s="25"/>
      <c r="C5" s="25"/>
      <c r="D5" s="25" t="n">
        <v>115.63</v>
      </c>
      <c r="E5" s="25"/>
      <c r="F5" s="9" t="s">
        <v>147</v>
      </c>
      <c r="G5" s="10" t="s">
        <v>715</v>
      </c>
    </row>
    <row r="6" customFormat="false" ht="15" hidden="false" customHeight="false" outlineLevel="0" collapsed="false">
      <c r="A6" s="9" t="s">
        <v>716</v>
      </c>
      <c r="B6" s="25"/>
      <c r="C6" s="25"/>
      <c r="D6" s="25" t="n">
        <v>240.31</v>
      </c>
      <c r="E6" s="25"/>
      <c r="F6" s="9" t="s">
        <v>147</v>
      </c>
      <c r="G6" s="10" t="s">
        <v>715</v>
      </c>
    </row>
    <row r="7" customFormat="false" ht="23.85" hidden="false" customHeight="false" outlineLevel="0" collapsed="false">
      <c r="A7" s="9" t="s">
        <v>138</v>
      </c>
      <c r="B7" s="25"/>
      <c r="C7" s="25"/>
      <c r="D7" s="25"/>
      <c r="E7" s="25" t="n">
        <v>20.89</v>
      </c>
      <c r="F7" s="9" t="s">
        <v>147</v>
      </c>
      <c r="G7" s="10" t="s">
        <v>717</v>
      </c>
    </row>
    <row r="8" customFormat="false" ht="23.85" hidden="false" customHeight="false" outlineLevel="0" collapsed="false">
      <c r="A8" s="9" t="s">
        <v>718</v>
      </c>
      <c r="B8" s="25"/>
      <c r="C8" s="25"/>
      <c r="D8" s="25"/>
      <c r="E8" s="25" t="n">
        <v>-12.57</v>
      </c>
      <c r="F8" s="9" t="s">
        <v>719</v>
      </c>
      <c r="G8" s="10" t="s">
        <v>720</v>
      </c>
    </row>
    <row r="9" customFormat="false" ht="15" hidden="false" customHeight="false" outlineLevel="0" collapsed="false">
      <c r="A9" s="9" t="s">
        <v>721</v>
      </c>
      <c r="B9" s="25" t="n">
        <v>550.1</v>
      </c>
      <c r="C9" s="25" t="n">
        <v>305.3</v>
      </c>
      <c r="D9" s="25" t="n">
        <v>-59.86</v>
      </c>
      <c r="E9" s="25" t="n">
        <v>33.3</v>
      </c>
      <c r="F9" s="9" t="s">
        <v>722</v>
      </c>
      <c r="G9" s="10" t="s">
        <v>723</v>
      </c>
    </row>
    <row r="10" customFormat="false" ht="15" hidden="false" customHeight="false" outlineLevel="0" collapsed="false">
      <c r="A10" s="9" t="s">
        <v>724</v>
      </c>
      <c r="B10" s="25" t="n">
        <v>976.5</v>
      </c>
      <c r="C10" s="25" t="n">
        <v>683.4</v>
      </c>
      <c r="D10" s="25" t="n">
        <v>-83.4</v>
      </c>
      <c r="E10" s="25" t="n">
        <v>67.9</v>
      </c>
      <c r="F10" s="9" t="s">
        <v>725</v>
      </c>
      <c r="G10" s="10" t="s">
        <v>726</v>
      </c>
    </row>
    <row r="11" customFormat="false" ht="15" hidden="false" customHeight="false" outlineLevel="0" collapsed="false">
      <c r="A11" s="9" t="s">
        <v>727</v>
      </c>
      <c r="B11" s="25" t="n">
        <v>557.42</v>
      </c>
      <c r="C11" s="25" t="n">
        <v>579.58</v>
      </c>
      <c r="D11" s="25" t="n">
        <v>72.09</v>
      </c>
      <c r="E11" s="25" t="n">
        <v>-16.15</v>
      </c>
      <c r="F11" s="9" t="s">
        <v>728</v>
      </c>
      <c r="G11" s="10" t="s">
        <v>729</v>
      </c>
    </row>
    <row r="12" customFormat="false" ht="15" hidden="false" customHeight="false" outlineLevel="0" collapsed="false">
      <c r="A12" s="9" t="s">
        <v>730</v>
      </c>
      <c r="B12" s="25" t="n">
        <v>882.1</v>
      </c>
      <c r="C12" s="25" t="n">
        <v>739.38</v>
      </c>
      <c r="D12" s="25" t="n">
        <v>109.7</v>
      </c>
      <c r="E12" s="25" t="n">
        <v>71.6</v>
      </c>
      <c r="F12" s="9" t="s">
        <v>288</v>
      </c>
      <c r="G12" s="10" t="s">
        <v>729</v>
      </c>
    </row>
    <row r="13" customFormat="false" ht="23.85" hidden="false" customHeight="false" outlineLevel="0" collapsed="false">
      <c r="A13" s="9" t="s">
        <v>731</v>
      </c>
      <c r="B13" s="25"/>
      <c r="C13" s="25"/>
      <c r="D13" s="25" t="n">
        <v>-3.4</v>
      </c>
      <c r="E13" s="25" t="n">
        <v>-294</v>
      </c>
      <c r="F13" s="9" t="s">
        <v>732</v>
      </c>
      <c r="G13" s="10" t="s">
        <v>733</v>
      </c>
    </row>
    <row r="14" customFormat="false" ht="23.85" hidden="false" customHeight="false" outlineLevel="0" collapsed="false">
      <c r="A14" s="9" t="s">
        <v>734</v>
      </c>
      <c r="B14" s="25"/>
      <c r="C14" s="25"/>
      <c r="D14" s="25" t="n">
        <v>242.2</v>
      </c>
      <c r="E14" s="25" t="n">
        <v>-41.6</v>
      </c>
      <c r="F14" s="9" t="s">
        <v>348</v>
      </c>
      <c r="G14" s="10" t="s">
        <v>735</v>
      </c>
    </row>
    <row r="15" customFormat="false" ht="15" hidden="false" customHeight="false" outlineLevel="0" collapsed="false">
      <c r="A15" s="9" t="s">
        <v>366</v>
      </c>
      <c r="B15" s="25"/>
      <c r="C15" s="25"/>
      <c r="D15" s="25" t="n">
        <v>-93.8</v>
      </c>
      <c r="E15" s="25"/>
      <c r="F15" s="9" t="s">
        <v>348</v>
      </c>
      <c r="G15" s="10" t="s">
        <v>736</v>
      </c>
    </row>
    <row r="16" customFormat="false" ht="23.85" hidden="false" customHeight="false" outlineLevel="0" collapsed="false">
      <c r="A16" s="9" t="s">
        <v>737</v>
      </c>
      <c r="B16" s="25"/>
      <c r="C16" s="25"/>
      <c r="D16" s="25"/>
      <c r="E16" s="25" t="n">
        <v>-8.2</v>
      </c>
      <c r="F16" s="9" t="s">
        <v>738</v>
      </c>
      <c r="G16" s="10" t="s">
        <v>739</v>
      </c>
    </row>
    <row r="18" customFormat="false" ht="91" hidden="false" customHeight="false" outlineLevel="0" collapsed="false">
      <c r="A18" s="15" t="s">
        <v>740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4" min="2" style="0" width="22"/>
  </cols>
  <sheetData>
    <row r="1" customFormat="false" ht="16.15" hidden="false" customHeight="false" outlineLevel="0" collapsed="false">
      <c r="A1" s="4" t="s">
        <v>741</v>
      </c>
    </row>
    <row r="3" customFormat="false" ht="15" hidden="false" customHeight="false" outlineLevel="0" collapsed="false">
      <c r="A3" s="16" t="s">
        <v>742</v>
      </c>
    </row>
    <row r="4" customFormat="false" ht="15" hidden="false" customHeight="false" outlineLevel="0" collapsed="false">
      <c r="A4" s="7" t="s">
        <v>743</v>
      </c>
    </row>
    <row r="5" customFormat="false" ht="15" hidden="false" customHeight="false" outlineLevel="0" collapsed="false">
      <c r="A5" s="8" t="s">
        <v>744</v>
      </c>
      <c r="B5" s="8" t="s">
        <v>745</v>
      </c>
    </row>
    <row r="6" customFormat="false" ht="15" hidden="false" customHeight="false" outlineLevel="0" collapsed="false">
      <c r="A6" s="9" t="s">
        <v>746</v>
      </c>
      <c r="B6" s="9" t="s">
        <v>747</v>
      </c>
    </row>
    <row r="7" customFormat="false" ht="15" hidden="false" customHeight="false" outlineLevel="0" collapsed="false">
      <c r="A7" s="9" t="s">
        <v>748</v>
      </c>
      <c r="B7" s="9" t="s">
        <v>749</v>
      </c>
    </row>
    <row r="8" customFormat="false" ht="15" hidden="false" customHeight="false" outlineLevel="0" collapsed="false">
      <c r="A8" s="9" t="s">
        <v>750</v>
      </c>
      <c r="B8" s="9" t="n">
        <v>32</v>
      </c>
    </row>
    <row r="9" customFormat="false" ht="15" hidden="false" customHeight="false" outlineLevel="0" collapsed="false">
      <c r="A9" s="9" t="s">
        <v>751</v>
      </c>
      <c r="B9" s="9" t="n">
        <v>0.95</v>
      </c>
    </row>
    <row r="10" customFormat="false" ht="15" hidden="false" customHeight="false" outlineLevel="0" collapsed="false">
      <c r="A10" s="9" t="s">
        <v>752</v>
      </c>
      <c r="B10" s="9" t="n">
        <v>36.4</v>
      </c>
    </row>
    <row r="11" customFormat="false" ht="15" hidden="false" customHeight="false" outlineLevel="0" collapsed="false">
      <c r="A11" s="9" t="s">
        <v>753</v>
      </c>
      <c r="B11" s="9" t="n">
        <v>0.18</v>
      </c>
    </row>
    <row r="12" customFormat="false" ht="15" hidden="false" customHeight="false" outlineLevel="0" collapsed="false">
      <c r="A12" s="9" t="s">
        <v>754</v>
      </c>
      <c r="B12" s="9" t="n">
        <v>1.665</v>
      </c>
    </row>
    <row r="13" customFormat="false" ht="15" hidden="false" customHeight="false" outlineLevel="0" collapsed="false">
      <c r="A13" s="9" t="s">
        <v>755</v>
      </c>
      <c r="B13" s="9" t="s">
        <v>756</v>
      </c>
    </row>
    <row r="14" customFormat="false" ht="15" hidden="false" customHeight="false" outlineLevel="0" collapsed="false">
      <c r="A14" s="9" t="s">
        <v>757</v>
      </c>
      <c r="B14" s="9" t="s">
        <v>758</v>
      </c>
    </row>
    <row r="15" customFormat="false" ht="28.35" hidden="false" customHeight="false" outlineLevel="0" collapsed="false">
      <c r="A15" s="15" t="s">
        <v>759</v>
      </c>
    </row>
    <row r="18" customFormat="false" ht="15" hidden="false" customHeight="false" outlineLevel="0" collapsed="false">
      <c r="A18" s="16" t="s">
        <v>760</v>
      </c>
    </row>
    <row r="19" customFormat="false" ht="15" hidden="false" customHeight="false" outlineLevel="0" collapsed="false">
      <c r="A19" s="7" t="s">
        <v>761</v>
      </c>
    </row>
    <row r="20" customFormat="false" ht="15" hidden="false" customHeight="false" outlineLevel="0" collapsed="false">
      <c r="A20" s="8" t="s">
        <v>744</v>
      </c>
      <c r="B20" s="8" t="s">
        <v>745</v>
      </c>
    </row>
    <row r="21" customFormat="false" ht="15" hidden="false" customHeight="false" outlineLevel="0" collapsed="false">
      <c r="A21" s="9" t="s">
        <v>762</v>
      </c>
      <c r="B21" s="9" t="s">
        <v>763</v>
      </c>
    </row>
    <row r="22" customFormat="false" ht="15" hidden="false" customHeight="false" outlineLevel="0" collapsed="false">
      <c r="A22" s="9" t="s">
        <v>764</v>
      </c>
      <c r="B22" s="9" t="s">
        <v>765</v>
      </c>
    </row>
    <row r="23" customFormat="false" ht="15" hidden="false" customHeight="false" outlineLevel="0" collapsed="false">
      <c r="A23" s="9" t="s">
        <v>766</v>
      </c>
      <c r="B23" s="9" t="s">
        <v>767</v>
      </c>
    </row>
    <row r="24" customFormat="false" ht="15" hidden="false" customHeight="false" outlineLevel="0" collapsed="false">
      <c r="A24" s="9" t="s">
        <v>748</v>
      </c>
      <c r="B24" s="9" t="s">
        <v>768</v>
      </c>
    </row>
    <row r="25" customFormat="false" ht="15" hidden="false" customHeight="false" outlineLevel="0" collapsed="false">
      <c r="A25" s="9" t="s">
        <v>750</v>
      </c>
      <c r="B25" s="9" t="n">
        <v>21</v>
      </c>
    </row>
    <row r="26" customFormat="false" ht="15" hidden="false" customHeight="false" outlineLevel="0" collapsed="false">
      <c r="A26" s="9" t="s">
        <v>751</v>
      </c>
      <c r="B26" s="9" t="n">
        <v>0.996574</v>
      </c>
    </row>
    <row r="27" customFormat="false" ht="15" hidden="false" customHeight="false" outlineLevel="0" collapsed="false">
      <c r="A27" s="9" t="s">
        <v>752</v>
      </c>
      <c r="B27" s="9" t="n">
        <v>0.925989</v>
      </c>
    </row>
    <row r="28" customFormat="false" ht="15" hidden="false" customHeight="false" outlineLevel="0" collapsed="false">
      <c r="A28" s="9" t="s">
        <v>753</v>
      </c>
      <c r="B28" s="9" t="n">
        <v>0.017834</v>
      </c>
    </row>
    <row r="29" customFormat="false" ht="15" hidden="false" customHeight="false" outlineLevel="0" collapsed="false">
      <c r="A29" s="9" t="s">
        <v>754</v>
      </c>
      <c r="B29" s="9" t="n">
        <v>1.0582</v>
      </c>
    </row>
    <row r="30" customFormat="false" ht="15" hidden="false" customHeight="false" outlineLevel="0" collapsed="false">
      <c r="A30" s="9" t="s">
        <v>755</v>
      </c>
      <c r="B30" s="9" t="s">
        <v>769</v>
      </c>
    </row>
    <row r="31" customFormat="false" ht="15" hidden="false" customHeight="false" outlineLevel="0" collapsed="false">
      <c r="A31" s="9" t="s">
        <v>757</v>
      </c>
      <c r="B31" s="9" t="s">
        <v>770</v>
      </c>
    </row>
    <row r="32" customFormat="false" ht="15" hidden="false" customHeight="false" outlineLevel="0" collapsed="false">
      <c r="A32" s="9" t="s">
        <v>771</v>
      </c>
      <c r="B32" s="9" t="s">
        <v>772</v>
      </c>
    </row>
    <row r="33" customFormat="false" ht="15" hidden="false" customHeight="false" outlineLevel="0" collapsed="false">
      <c r="A33" s="9" t="s">
        <v>773</v>
      </c>
      <c r="B33" s="9" t="s">
        <v>774</v>
      </c>
    </row>
    <row r="34" customFormat="false" ht="28.35" hidden="false" customHeight="false" outlineLevel="0" collapsed="false">
      <c r="A34" s="15" t="s">
        <v>775</v>
      </c>
    </row>
    <row r="37" customFormat="false" ht="15" hidden="false" customHeight="false" outlineLevel="0" collapsed="false">
      <c r="A37" s="16" t="s">
        <v>776</v>
      </c>
    </row>
    <row r="38" customFormat="false" ht="15" hidden="false" customHeight="false" outlineLevel="0" collapsed="false">
      <c r="A38" s="7" t="s">
        <v>777</v>
      </c>
    </row>
    <row r="39" customFormat="false" ht="26.85" hidden="false" customHeight="false" outlineLevel="0" collapsed="false">
      <c r="A39" s="8" t="s">
        <v>744</v>
      </c>
      <c r="B39" s="8" t="s">
        <v>778</v>
      </c>
      <c r="C39" s="8" t="s">
        <v>779</v>
      </c>
      <c r="D39" s="8" t="s">
        <v>780</v>
      </c>
    </row>
    <row r="40" customFormat="false" ht="15" hidden="false" customHeight="false" outlineLevel="0" collapsed="false">
      <c r="A40" s="9" t="s">
        <v>781</v>
      </c>
      <c r="B40" s="9" t="n">
        <v>0.9928</v>
      </c>
      <c r="C40" s="9" t="n">
        <v>0.9928</v>
      </c>
      <c r="D40" s="9" t="n">
        <v>0.9929</v>
      </c>
    </row>
    <row r="41" customFormat="false" ht="15" hidden="false" customHeight="false" outlineLevel="0" collapsed="false">
      <c r="A41" s="9" t="s">
        <v>782</v>
      </c>
      <c r="B41" s="9" t="n">
        <v>0.0126</v>
      </c>
      <c r="C41" s="9" t="n">
        <v>0.0148</v>
      </c>
      <c r="D41" s="9" t="n">
        <v>0.0243</v>
      </c>
    </row>
    <row r="42" customFormat="false" ht="15" hidden="false" customHeight="false" outlineLevel="0" collapsed="false">
      <c r="A42" s="9" t="s">
        <v>750</v>
      </c>
      <c r="B42" s="9" t="n">
        <v>141</v>
      </c>
      <c r="C42" s="9" t="n">
        <v>86</v>
      </c>
      <c r="D42" s="9" t="n">
        <v>52</v>
      </c>
    </row>
    <row r="43" customFormat="false" ht="28.35" hidden="false" customHeight="false" outlineLevel="0" collapsed="false">
      <c r="A43" s="15" t="s">
        <v>783</v>
      </c>
    </row>
    <row r="46" customFormat="false" ht="15" hidden="false" customHeight="false" outlineLevel="0" collapsed="false">
      <c r="A46" s="16" t="s">
        <v>784</v>
      </c>
    </row>
    <row r="47" customFormat="false" ht="15" hidden="false" customHeight="false" outlineLevel="0" collapsed="false">
      <c r="A47" s="7" t="s">
        <v>785</v>
      </c>
    </row>
    <row r="48" customFormat="false" ht="15" hidden="false" customHeight="false" outlineLevel="0" collapsed="false">
      <c r="A48" s="8" t="s">
        <v>744</v>
      </c>
      <c r="B48" s="8" t="s">
        <v>745</v>
      </c>
    </row>
    <row r="49" customFormat="false" ht="15" hidden="false" customHeight="false" outlineLevel="0" collapsed="false">
      <c r="A49" s="9" t="s">
        <v>786</v>
      </c>
      <c r="B49" s="9" t="n">
        <v>1.0000062</v>
      </c>
    </row>
    <row r="50" customFormat="false" ht="15" hidden="false" customHeight="false" outlineLevel="0" collapsed="false">
      <c r="A50" s="9" t="s">
        <v>782</v>
      </c>
      <c r="B50" s="9" t="n">
        <v>0.000719</v>
      </c>
    </row>
    <row r="51" customFormat="false" ht="15" hidden="false" customHeight="false" outlineLevel="0" collapsed="false">
      <c r="A51" s="9" t="s">
        <v>787</v>
      </c>
      <c r="B51" s="9" t="s">
        <v>788</v>
      </c>
    </row>
    <row r="52" customFormat="false" ht="15" hidden="false" customHeight="false" outlineLevel="0" collapsed="false">
      <c r="A52" s="9" t="s">
        <v>789</v>
      </c>
      <c r="B52" s="9" t="s">
        <v>790</v>
      </c>
    </row>
    <row r="53" customFormat="false" ht="15" hidden="false" customHeight="false" outlineLevel="0" collapsed="false">
      <c r="A53" s="9" t="s">
        <v>750</v>
      </c>
      <c r="B53" s="9" t="n">
        <v>26</v>
      </c>
    </row>
    <row r="54" customFormat="false" ht="15" hidden="false" customHeight="false" outlineLevel="0" collapsed="false">
      <c r="A54" s="9" t="s">
        <v>751</v>
      </c>
      <c r="B54" s="9" t="n">
        <v>0.999987</v>
      </c>
    </row>
    <row r="55" customFormat="false" ht="28.35" hidden="false" customHeight="false" outlineLevel="0" collapsed="false">
      <c r="A55" s="15" t="s">
        <v>791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4"/>
    <col collapsed="false" customWidth="true" hidden="false" outlineLevel="0" max="6" min="3" style="0" width="12"/>
  </cols>
  <sheetData>
    <row r="1" customFormat="false" ht="16.15" hidden="false" customHeight="false" outlineLevel="0" collapsed="false">
      <c r="A1" s="4" t="s">
        <v>792</v>
      </c>
    </row>
    <row r="2" customFormat="false" ht="30" hidden="false" customHeight="true" outlineLevel="0" collapsed="false">
      <c r="A2" s="7" t="s">
        <v>793</v>
      </c>
    </row>
    <row r="4" customFormat="false" ht="15" hidden="false" customHeight="false" outlineLevel="0" collapsed="false">
      <c r="A4" s="16" t="s">
        <v>794</v>
      </c>
    </row>
    <row r="5" customFormat="false" ht="15" hidden="false" customHeight="false" outlineLevel="0" collapsed="false">
      <c r="A5" s="7" t="s">
        <v>795</v>
      </c>
    </row>
    <row r="6" customFormat="false" ht="15" hidden="false" customHeight="false" outlineLevel="0" collapsed="false">
      <c r="A6" s="8" t="s">
        <v>796</v>
      </c>
      <c r="B6" s="8"/>
      <c r="C6" s="8" t="s">
        <v>797</v>
      </c>
      <c r="D6" s="8" t="s">
        <v>798</v>
      </c>
      <c r="E6" s="8" t="s">
        <v>799</v>
      </c>
      <c r="F6" s="8" t="s">
        <v>800</v>
      </c>
    </row>
    <row r="7" customFormat="false" ht="15" hidden="false" customHeight="false" outlineLevel="0" collapsed="false">
      <c r="A7" s="9"/>
      <c r="B7" s="9" t="s">
        <v>801</v>
      </c>
      <c r="C7" s="9" t="n">
        <v>0</v>
      </c>
      <c r="D7" s="9" t="n">
        <v>16</v>
      </c>
      <c r="E7" s="9" t="n">
        <v>2</v>
      </c>
      <c r="F7" s="9" t="n">
        <v>18</v>
      </c>
    </row>
    <row r="8" customFormat="false" ht="15" hidden="false" customHeight="false" outlineLevel="0" collapsed="false">
      <c r="A8" s="9"/>
      <c r="B8" s="9" t="s">
        <v>802</v>
      </c>
      <c r="C8" s="9" t="n">
        <v>0</v>
      </c>
      <c r="D8" s="9" t="n">
        <v>1</v>
      </c>
      <c r="E8" s="9" t="n">
        <v>0</v>
      </c>
      <c r="F8" s="9" t="n">
        <v>1</v>
      </c>
    </row>
    <row r="9" customFormat="false" ht="15" hidden="false" customHeight="false" outlineLevel="0" collapsed="false">
      <c r="A9" s="9"/>
      <c r="B9" s="9" t="s">
        <v>803</v>
      </c>
      <c r="C9" s="9" t="n">
        <v>0</v>
      </c>
      <c r="D9" s="9" t="n">
        <v>20</v>
      </c>
      <c r="E9" s="9" t="n">
        <v>14</v>
      </c>
      <c r="F9" s="9" t="n">
        <v>34</v>
      </c>
    </row>
    <row r="10" customFormat="false" ht="15" hidden="false" customHeight="false" outlineLevel="0" collapsed="false">
      <c r="A10" s="9"/>
      <c r="B10" s="9" t="s">
        <v>800</v>
      </c>
      <c r="C10" s="9" t="n">
        <v>0</v>
      </c>
      <c r="D10" s="9" t="n">
        <v>37</v>
      </c>
      <c r="E10" s="9" t="n">
        <v>16</v>
      </c>
      <c r="F10" s="9" t="n">
        <v>53</v>
      </c>
    </row>
    <row r="11" customFormat="false" ht="73.1" hidden="false" customHeight="false" outlineLevel="0" collapsed="false">
      <c r="A11" s="15" t="s">
        <v>804</v>
      </c>
    </row>
    <row r="14" customFormat="false" ht="15" hidden="false" customHeight="false" outlineLevel="0" collapsed="false">
      <c r="A14" s="16" t="s">
        <v>805</v>
      </c>
    </row>
    <row r="15" customFormat="false" ht="15" hidden="false" customHeight="false" outlineLevel="0" collapsed="false">
      <c r="A15" s="7" t="s">
        <v>806</v>
      </c>
    </row>
    <row r="16" customFormat="false" ht="15" hidden="false" customHeight="false" outlineLevel="0" collapsed="false">
      <c r="A16" s="8" t="s">
        <v>796</v>
      </c>
      <c r="B16" s="8"/>
      <c r="C16" s="8" t="s">
        <v>797</v>
      </c>
      <c r="D16" s="8" t="s">
        <v>798</v>
      </c>
      <c r="E16" s="8" t="s">
        <v>799</v>
      </c>
      <c r="F16" s="8" t="s">
        <v>800</v>
      </c>
    </row>
    <row r="17" customFormat="false" ht="15" hidden="false" customHeight="false" outlineLevel="0" collapsed="false">
      <c r="A17" s="9"/>
      <c r="B17" s="9" t="s">
        <v>801</v>
      </c>
      <c r="C17" s="9" t="n">
        <v>6</v>
      </c>
      <c r="D17" s="9" t="n">
        <v>37</v>
      </c>
      <c r="E17" s="9" t="n">
        <v>2</v>
      </c>
      <c r="F17" s="9" t="n">
        <v>45</v>
      </c>
    </row>
    <row r="18" customFormat="false" ht="15" hidden="false" customHeight="false" outlineLevel="0" collapsed="false">
      <c r="A18" s="9"/>
      <c r="B18" s="9" t="s">
        <v>802</v>
      </c>
      <c r="C18" s="9" t="n">
        <v>0</v>
      </c>
      <c r="D18" s="9" t="n">
        <v>2</v>
      </c>
      <c r="E18" s="9" t="n">
        <v>0</v>
      </c>
      <c r="F18" s="9" t="n">
        <v>2</v>
      </c>
    </row>
    <row r="19" customFormat="false" ht="15" hidden="false" customHeight="false" outlineLevel="0" collapsed="false">
      <c r="A19" s="9"/>
      <c r="B19" s="9" t="s">
        <v>803</v>
      </c>
      <c r="C19" s="9" t="n">
        <v>5</v>
      </c>
      <c r="D19" s="9" t="n">
        <v>40</v>
      </c>
      <c r="E19" s="9" t="n">
        <v>11</v>
      </c>
      <c r="F19" s="9" t="n">
        <v>56</v>
      </c>
    </row>
    <row r="20" customFormat="false" ht="15" hidden="false" customHeight="false" outlineLevel="0" collapsed="false">
      <c r="A20" s="9"/>
      <c r="B20" s="9" t="s">
        <v>800</v>
      </c>
      <c r="C20" s="9" t="n">
        <v>11</v>
      </c>
      <c r="D20" s="9" t="n">
        <v>79</v>
      </c>
      <c r="E20" s="9" t="n">
        <v>13</v>
      </c>
      <c r="F20" s="9" t="n">
        <v>103</v>
      </c>
    </row>
    <row r="21" customFormat="false" ht="73.1" hidden="false" customHeight="false" outlineLevel="0" collapsed="false">
      <c r="A21" s="15" t="s">
        <v>807</v>
      </c>
    </row>
    <row r="24" customFormat="false" ht="15" hidden="false" customHeight="false" outlineLevel="0" collapsed="false">
      <c r="A24" s="16" t="s">
        <v>808</v>
      </c>
    </row>
    <row r="25" customFormat="false" ht="15" hidden="false" customHeight="false" outlineLevel="0" collapsed="false">
      <c r="A25" s="7" t="s">
        <v>809</v>
      </c>
    </row>
    <row r="26" customFormat="false" ht="15" hidden="false" customHeight="false" outlineLevel="0" collapsed="false">
      <c r="A26" s="8" t="s">
        <v>796</v>
      </c>
      <c r="B26" s="8"/>
      <c r="C26" s="8" t="s">
        <v>797</v>
      </c>
      <c r="D26" s="8" t="s">
        <v>798</v>
      </c>
      <c r="E26" s="8" t="s">
        <v>799</v>
      </c>
      <c r="F26" s="8" t="s">
        <v>800</v>
      </c>
    </row>
    <row r="27" customFormat="false" ht="15" hidden="false" customHeight="false" outlineLevel="0" collapsed="false">
      <c r="A27" s="9"/>
      <c r="B27" s="9" t="s">
        <v>801</v>
      </c>
      <c r="C27" s="9" t="n">
        <v>9</v>
      </c>
      <c r="D27" s="9" t="n">
        <v>0</v>
      </c>
      <c r="E27" s="9" t="n">
        <v>1</v>
      </c>
      <c r="F27" s="9" t="n">
        <v>10</v>
      </c>
    </row>
    <row r="28" customFormat="false" ht="15" hidden="false" customHeight="false" outlineLevel="0" collapsed="false">
      <c r="A28" s="9"/>
      <c r="B28" s="9" t="s">
        <v>802</v>
      </c>
      <c r="C28" s="9" t="n">
        <v>1</v>
      </c>
      <c r="D28" s="9" t="n">
        <v>0</v>
      </c>
      <c r="E28" s="9" t="n">
        <v>0</v>
      </c>
      <c r="F28" s="9" t="n">
        <v>1</v>
      </c>
    </row>
    <row r="29" customFormat="false" ht="15" hidden="false" customHeight="false" outlineLevel="0" collapsed="false">
      <c r="A29" s="9"/>
      <c r="B29" s="9" t="s">
        <v>803</v>
      </c>
      <c r="C29" s="9" t="n">
        <v>3</v>
      </c>
      <c r="D29" s="9" t="n">
        <v>1</v>
      </c>
      <c r="E29" s="9" t="n">
        <v>1</v>
      </c>
      <c r="F29" s="9" t="n">
        <v>5</v>
      </c>
    </row>
    <row r="30" customFormat="false" ht="15" hidden="false" customHeight="false" outlineLevel="0" collapsed="false">
      <c r="A30" s="9"/>
      <c r="B30" s="9" t="s">
        <v>800</v>
      </c>
      <c r="C30" s="9" t="n">
        <v>13</v>
      </c>
      <c r="D30" s="9" t="n">
        <v>1</v>
      </c>
      <c r="E30" s="9" t="n">
        <v>2</v>
      </c>
      <c r="F30" s="9" t="n">
        <v>16</v>
      </c>
    </row>
    <row r="31" customFormat="false" ht="99.95" hidden="false" customHeight="false" outlineLevel="0" collapsed="false">
      <c r="A31" s="15" t="s">
        <v>810</v>
      </c>
    </row>
    <row r="34" customFormat="false" ht="15" hidden="false" customHeight="false" outlineLevel="0" collapsed="false">
      <c r="A34" s="16" t="s">
        <v>811</v>
      </c>
    </row>
    <row r="35" customFormat="false" ht="15" hidden="false" customHeight="false" outlineLevel="0" collapsed="false">
      <c r="A35" s="7" t="s">
        <v>812</v>
      </c>
    </row>
    <row r="36" customFormat="false" ht="15" hidden="false" customHeight="false" outlineLevel="0" collapsed="false">
      <c r="A36" s="8" t="s">
        <v>796</v>
      </c>
      <c r="B36" s="8"/>
      <c r="C36" s="8" t="s">
        <v>797</v>
      </c>
      <c r="D36" s="8" t="s">
        <v>798</v>
      </c>
      <c r="E36" s="8" t="s">
        <v>799</v>
      </c>
      <c r="F36" s="8" t="s">
        <v>800</v>
      </c>
    </row>
    <row r="37" customFormat="false" ht="15" hidden="false" customHeight="false" outlineLevel="0" collapsed="false">
      <c r="A37" s="9"/>
      <c r="B37" s="9" t="s">
        <v>801</v>
      </c>
      <c r="C37" s="9" t="n">
        <v>5</v>
      </c>
      <c r="D37" s="9" t="n">
        <v>0</v>
      </c>
      <c r="E37" s="9" t="n">
        <v>2</v>
      </c>
      <c r="F37" s="9" t="n">
        <v>7</v>
      </c>
    </row>
    <row r="38" customFormat="false" ht="15" hidden="false" customHeight="false" outlineLevel="0" collapsed="false">
      <c r="A38" s="9"/>
      <c r="B38" s="9" t="s">
        <v>802</v>
      </c>
      <c r="C38" s="9" t="n">
        <v>0</v>
      </c>
      <c r="D38" s="9" t="n">
        <v>0</v>
      </c>
      <c r="E38" s="9" t="n">
        <v>0</v>
      </c>
      <c r="F38" s="9" t="n">
        <v>0</v>
      </c>
    </row>
    <row r="39" customFormat="false" ht="15" hidden="false" customHeight="false" outlineLevel="0" collapsed="false">
      <c r="A39" s="9"/>
      <c r="B39" s="9" t="s">
        <v>803</v>
      </c>
      <c r="C39" s="9" t="n">
        <v>0</v>
      </c>
      <c r="D39" s="9" t="n">
        <v>0</v>
      </c>
      <c r="E39" s="9" t="n">
        <v>0</v>
      </c>
      <c r="F39" s="9" t="n">
        <v>0</v>
      </c>
    </row>
    <row r="40" customFormat="false" ht="15" hidden="false" customHeight="false" outlineLevel="0" collapsed="false">
      <c r="A40" s="9"/>
      <c r="B40" s="9" t="s">
        <v>800</v>
      </c>
      <c r="C40" s="9" t="n">
        <v>5</v>
      </c>
      <c r="D40" s="9" t="n">
        <v>0</v>
      </c>
      <c r="E40" s="9" t="n">
        <v>2</v>
      </c>
      <c r="F40" s="9" t="n">
        <v>7</v>
      </c>
    </row>
    <row r="41" customFormat="false" ht="64.15" hidden="false" customHeight="false" outlineLevel="0" collapsed="false">
      <c r="A41" s="15" t="s">
        <v>813</v>
      </c>
    </row>
    <row r="44" customFormat="false" ht="15" hidden="false" customHeight="false" outlineLevel="0" collapsed="false">
      <c r="A44" s="16" t="s">
        <v>814</v>
      </c>
    </row>
    <row r="45" customFormat="false" ht="15" hidden="false" customHeight="false" outlineLevel="0" collapsed="false">
      <c r="A45" s="7" t="s">
        <v>815</v>
      </c>
    </row>
    <row r="46" customFormat="false" ht="26.85" hidden="false" customHeight="false" outlineLevel="0" collapsed="false">
      <c r="A46" s="8" t="s">
        <v>816</v>
      </c>
      <c r="B46" s="8"/>
      <c r="C46" s="8" t="s">
        <v>797</v>
      </c>
      <c r="D46" s="8" t="s">
        <v>798</v>
      </c>
      <c r="E46" s="8" t="s">
        <v>799</v>
      </c>
      <c r="F46" s="8" t="s">
        <v>800</v>
      </c>
    </row>
    <row r="47" customFormat="false" ht="15" hidden="false" customHeight="false" outlineLevel="0" collapsed="false">
      <c r="A47" s="9"/>
      <c r="B47" s="9" t="s">
        <v>817</v>
      </c>
      <c r="C47" s="9" t="n">
        <v>10</v>
      </c>
      <c r="D47" s="9" t="n">
        <v>0</v>
      </c>
      <c r="E47" s="9" t="n">
        <v>0</v>
      </c>
      <c r="F47" s="9" t="n">
        <v>10</v>
      </c>
    </row>
    <row r="48" customFormat="false" ht="15" hidden="false" customHeight="false" outlineLevel="0" collapsed="false">
      <c r="A48" s="9"/>
      <c r="B48" s="9" t="s">
        <v>818</v>
      </c>
      <c r="C48" s="9" t="n">
        <v>0</v>
      </c>
      <c r="D48" s="9" t="n">
        <v>4</v>
      </c>
      <c r="E48" s="9" t="n">
        <v>0</v>
      </c>
      <c r="F48" s="9" t="n">
        <v>4</v>
      </c>
    </row>
    <row r="49" customFormat="false" ht="15" hidden="false" customHeight="false" outlineLevel="0" collapsed="false">
      <c r="A49" s="9"/>
      <c r="B49" s="9" t="s">
        <v>819</v>
      </c>
      <c r="C49" s="9" t="n">
        <v>0</v>
      </c>
      <c r="D49" s="9" t="n">
        <v>0</v>
      </c>
      <c r="E49" s="9" t="n">
        <v>6</v>
      </c>
      <c r="F49" s="9" t="n">
        <v>6</v>
      </c>
    </row>
    <row r="50" customFormat="false" ht="15" hidden="false" customHeight="false" outlineLevel="0" collapsed="false">
      <c r="A50" s="9"/>
      <c r="B50" s="9" t="s">
        <v>800</v>
      </c>
      <c r="C50" s="9" t="n">
        <v>10</v>
      </c>
      <c r="D50" s="9" t="n">
        <v>4</v>
      </c>
      <c r="E50" s="9" t="n">
        <v>6</v>
      </c>
      <c r="F50" s="9" t="n">
        <v>20</v>
      </c>
    </row>
    <row r="51" customFormat="false" ht="64.15" hidden="false" customHeight="false" outlineLevel="0" collapsed="false">
      <c r="A51" s="15" t="s">
        <v>820</v>
      </c>
    </row>
    <row r="54" customFormat="false" ht="15" hidden="false" customHeight="false" outlineLevel="0" collapsed="false">
      <c r="A54" s="16" t="s">
        <v>821</v>
      </c>
    </row>
    <row r="55" customFormat="false" ht="15" hidden="false" customHeight="false" outlineLevel="0" collapsed="false">
      <c r="A55" s="7" t="s">
        <v>822</v>
      </c>
    </row>
    <row r="56" customFormat="false" ht="26.85" hidden="false" customHeight="false" outlineLevel="0" collapsed="false">
      <c r="A56" s="8" t="s">
        <v>816</v>
      </c>
      <c r="B56" s="8"/>
      <c r="C56" s="8" t="s">
        <v>797</v>
      </c>
      <c r="D56" s="8" t="s">
        <v>798</v>
      </c>
      <c r="E56" s="8" t="s">
        <v>799</v>
      </c>
      <c r="F56" s="8" t="s">
        <v>800</v>
      </c>
    </row>
    <row r="57" customFormat="false" ht="15" hidden="false" customHeight="false" outlineLevel="0" collapsed="false">
      <c r="A57" s="9"/>
      <c r="B57" s="9" t="s">
        <v>817</v>
      </c>
      <c r="C57" s="9" t="n">
        <v>9</v>
      </c>
      <c r="D57" s="9" t="n">
        <v>0</v>
      </c>
      <c r="E57" s="9" t="n">
        <v>0</v>
      </c>
      <c r="F57" s="9" t="n">
        <v>9</v>
      </c>
    </row>
    <row r="58" customFormat="false" ht="15" hidden="false" customHeight="false" outlineLevel="0" collapsed="false">
      <c r="A58" s="9"/>
      <c r="B58" s="9" t="s">
        <v>818</v>
      </c>
      <c r="C58" s="9" t="n">
        <v>0</v>
      </c>
      <c r="D58" s="9" t="n">
        <v>0</v>
      </c>
      <c r="E58" s="9" t="n">
        <v>0</v>
      </c>
      <c r="F58" s="9" t="n">
        <v>0</v>
      </c>
    </row>
    <row r="59" customFormat="false" ht="15" hidden="false" customHeight="false" outlineLevel="0" collapsed="false">
      <c r="A59" s="9"/>
      <c r="B59" s="9" t="s">
        <v>819</v>
      </c>
      <c r="C59" s="9" t="n">
        <v>1</v>
      </c>
      <c r="D59" s="9" t="n">
        <v>0</v>
      </c>
      <c r="E59" s="9" t="n">
        <v>4</v>
      </c>
      <c r="F59" s="9" t="n">
        <v>5</v>
      </c>
    </row>
    <row r="60" customFormat="false" ht="15" hidden="false" customHeight="false" outlineLevel="0" collapsed="false">
      <c r="A60" s="9"/>
      <c r="B60" s="9" t="s">
        <v>800</v>
      </c>
      <c r="C60" s="9" t="n">
        <v>10</v>
      </c>
      <c r="D60" s="9" t="n">
        <v>0</v>
      </c>
      <c r="E60" s="9" t="n">
        <v>4</v>
      </c>
      <c r="F60" s="9" t="n">
        <v>14</v>
      </c>
    </row>
    <row r="61" customFormat="false" ht="91" hidden="false" customHeight="false" outlineLevel="0" collapsed="false">
      <c r="A61" s="15" t="s">
        <v>823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5" min="2" style="0" width="26"/>
  </cols>
  <sheetData>
    <row r="1" customFormat="false" ht="16.15" hidden="false" customHeight="false" outlineLevel="0" collapsed="false">
      <c r="A1" s="4" t="s">
        <v>824</v>
      </c>
    </row>
    <row r="3" customFormat="false" ht="15" hidden="false" customHeight="false" outlineLevel="0" collapsed="false">
      <c r="A3" s="16" t="s">
        <v>825</v>
      </c>
    </row>
    <row r="4" customFormat="false" ht="15" hidden="false" customHeight="false" outlineLevel="0" collapsed="false">
      <c r="A4" s="7" t="s">
        <v>826</v>
      </c>
    </row>
    <row r="5" customFormat="false" ht="26.85" hidden="false" customHeight="false" outlineLevel="0" collapsed="false">
      <c r="A5" s="8" t="s">
        <v>827</v>
      </c>
      <c r="B5" s="8" t="s">
        <v>828</v>
      </c>
      <c r="C5" s="8" t="s">
        <v>829</v>
      </c>
      <c r="D5" s="8" t="s">
        <v>309</v>
      </c>
      <c r="E5" s="8" t="s">
        <v>830</v>
      </c>
    </row>
    <row r="6" customFormat="false" ht="15" hidden="false" customHeight="false" outlineLevel="0" collapsed="false">
      <c r="A6" s="9" t="s">
        <v>831</v>
      </c>
      <c r="B6" s="9" t="s">
        <v>832</v>
      </c>
      <c r="C6" s="9" t="s">
        <v>833</v>
      </c>
      <c r="D6" s="9" t="s">
        <v>834</v>
      </c>
      <c r="E6" s="9" t="s">
        <v>835</v>
      </c>
    </row>
    <row r="7" customFormat="false" ht="15" hidden="false" customHeight="false" outlineLevel="0" collapsed="false">
      <c r="A7" s="9" t="s">
        <v>836</v>
      </c>
      <c r="B7" s="9" t="s">
        <v>837</v>
      </c>
      <c r="C7" s="9" t="s">
        <v>838</v>
      </c>
      <c r="D7" s="9" t="s">
        <v>838</v>
      </c>
      <c r="E7" s="9" t="s">
        <v>838</v>
      </c>
    </row>
    <row r="8" customFormat="false" ht="15" hidden="false" customHeight="false" outlineLevel="0" collapsed="false">
      <c r="A8" s="9" t="s">
        <v>839</v>
      </c>
      <c r="B8" s="9" t="s">
        <v>834</v>
      </c>
      <c r="C8" s="9" t="s">
        <v>834</v>
      </c>
      <c r="D8" s="9" t="s">
        <v>834</v>
      </c>
      <c r="E8" s="9" t="s">
        <v>840</v>
      </c>
    </row>
    <row r="11" customFormat="false" ht="15" hidden="false" customHeight="false" outlineLevel="0" collapsed="false">
      <c r="A11" s="16" t="s">
        <v>841</v>
      </c>
    </row>
    <row r="12" customFormat="false" ht="15" hidden="false" customHeight="false" outlineLevel="0" collapsed="false">
      <c r="A12" s="7" t="s">
        <v>842</v>
      </c>
    </row>
    <row r="13" customFormat="false" ht="15" hidden="false" customHeight="false" outlineLevel="0" collapsed="false">
      <c r="A13" s="8" t="s">
        <v>843</v>
      </c>
      <c r="B13" s="8" t="s">
        <v>844</v>
      </c>
      <c r="C13" s="8" t="s">
        <v>845</v>
      </c>
      <c r="D13" s="8" t="s">
        <v>800</v>
      </c>
    </row>
    <row r="14" customFormat="false" ht="15" hidden="false" customHeight="false" outlineLevel="0" collapsed="false">
      <c r="A14" s="9" t="s">
        <v>846</v>
      </c>
      <c r="B14" s="17" t="n">
        <v>150</v>
      </c>
      <c r="C14" s="17" t="n">
        <v>151</v>
      </c>
      <c r="D14" s="17" t="n">
        <v>301</v>
      </c>
    </row>
    <row r="15" customFormat="false" ht="15" hidden="false" customHeight="false" outlineLevel="0" collapsed="false">
      <c r="A15" s="9" t="s">
        <v>847</v>
      </c>
      <c r="B15" s="17" t="n">
        <v>129</v>
      </c>
      <c r="C15" s="17" t="n">
        <v>63</v>
      </c>
      <c r="D15" s="17" t="n">
        <v>192</v>
      </c>
    </row>
    <row r="16" customFormat="false" ht="15" hidden="false" customHeight="false" outlineLevel="0" collapsed="false">
      <c r="A16" s="9" t="s">
        <v>848</v>
      </c>
      <c r="B16" s="17" t="n">
        <v>61</v>
      </c>
      <c r="C16" s="9"/>
      <c r="D16" s="17" t="n">
        <v>61</v>
      </c>
    </row>
    <row r="17" customFormat="false" ht="15" hidden="false" customHeight="false" outlineLevel="0" collapsed="false">
      <c r="A17" s="9" t="s">
        <v>529</v>
      </c>
      <c r="B17" s="9" t="n">
        <f aca="false">SUM(B14:B16)</f>
        <v>340</v>
      </c>
      <c r="C17" s="9" t="n">
        <f aca="false">SUM(C14:C16)</f>
        <v>214</v>
      </c>
      <c r="D17" s="9" t="n">
        <f aca="false">SUM(D14:D16)</f>
        <v>554</v>
      </c>
    </row>
    <row r="18" customFormat="false" ht="91" hidden="false" customHeight="false" outlineLevel="0" collapsed="false">
      <c r="A18" s="15" t="s">
        <v>849</v>
      </c>
    </row>
    <row r="21" customFormat="false" ht="15" hidden="false" customHeight="false" outlineLevel="0" collapsed="false">
      <c r="A21" s="16" t="s">
        <v>850</v>
      </c>
    </row>
    <row r="22" customFormat="false" ht="15" hidden="false" customHeight="false" outlineLevel="0" collapsed="false">
      <c r="A22" s="7" t="s">
        <v>851</v>
      </c>
    </row>
    <row r="23" customFormat="false" ht="15" hidden="false" customHeight="false" outlineLevel="0" collapsed="false">
      <c r="A23" s="8" t="s">
        <v>852</v>
      </c>
      <c r="B23" s="8" t="s">
        <v>853</v>
      </c>
      <c r="C23" s="8" t="s">
        <v>854</v>
      </c>
      <c r="D23" s="8" t="s">
        <v>855</v>
      </c>
    </row>
    <row r="24" customFormat="false" ht="42" hidden="false" customHeight="true" outlineLevel="0" collapsed="false">
      <c r="A24" s="10" t="s">
        <v>856</v>
      </c>
      <c r="B24" s="10" t="s">
        <v>857</v>
      </c>
      <c r="C24" s="10" t="s">
        <v>834</v>
      </c>
      <c r="D24" s="10" t="s">
        <v>858</v>
      </c>
    </row>
    <row r="25" customFormat="false" ht="42" hidden="false" customHeight="true" outlineLevel="0" collapsed="false">
      <c r="A25" s="10" t="s">
        <v>859</v>
      </c>
      <c r="B25" s="10" t="s">
        <v>860</v>
      </c>
      <c r="C25" s="10" t="s">
        <v>861</v>
      </c>
      <c r="D25" s="10" t="s">
        <v>834</v>
      </c>
    </row>
    <row r="26" customFormat="false" ht="42" hidden="false" customHeight="true" outlineLevel="0" collapsed="false">
      <c r="A26" s="10" t="s">
        <v>862</v>
      </c>
      <c r="B26" s="10" t="s">
        <v>863</v>
      </c>
      <c r="C26" s="10" t="s">
        <v>864</v>
      </c>
      <c r="D26" s="10" t="s">
        <v>865</v>
      </c>
    </row>
    <row r="27" customFormat="false" ht="42" hidden="false" customHeight="true" outlineLevel="0" collapsed="false">
      <c r="A27" s="10" t="s">
        <v>866</v>
      </c>
      <c r="B27" s="10" t="s">
        <v>867</v>
      </c>
      <c r="C27" s="10" t="s">
        <v>834</v>
      </c>
      <c r="D27" s="10" t="s">
        <v>834</v>
      </c>
    </row>
    <row r="28" customFormat="false" ht="42" hidden="false" customHeight="true" outlineLevel="0" collapsed="false">
      <c r="A28" s="10" t="s">
        <v>868</v>
      </c>
      <c r="B28" s="10" t="s">
        <v>869</v>
      </c>
      <c r="C28" s="10" t="s">
        <v>870</v>
      </c>
      <c r="D28" s="10" t="s">
        <v>871</v>
      </c>
    </row>
    <row r="29" customFormat="false" ht="42" hidden="false" customHeight="true" outlineLevel="0" collapsed="false">
      <c r="A29" s="10" t="s">
        <v>872</v>
      </c>
      <c r="B29" s="10" t="s">
        <v>873</v>
      </c>
      <c r="C29" s="10" t="s">
        <v>874</v>
      </c>
      <c r="D29" s="10" t="s">
        <v>834</v>
      </c>
    </row>
    <row r="30" customFormat="false" ht="42" hidden="false" customHeight="true" outlineLevel="0" collapsed="false">
      <c r="A30" s="10" t="s">
        <v>875</v>
      </c>
      <c r="B30" s="10" t="s">
        <v>876</v>
      </c>
      <c r="C30" s="10" t="s">
        <v>834</v>
      </c>
      <c r="D30" s="10" t="s">
        <v>877</v>
      </c>
    </row>
    <row r="31" customFormat="false" ht="42" hidden="false" customHeight="true" outlineLevel="0" collapsed="false">
      <c r="A31" s="10" t="s">
        <v>878</v>
      </c>
      <c r="B31" s="10" t="s">
        <v>879</v>
      </c>
      <c r="C31" s="10" t="s">
        <v>834</v>
      </c>
      <c r="D31" s="10" t="s">
        <v>880</v>
      </c>
    </row>
    <row r="32" customFormat="false" ht="42" hidden="false" customHeight="true" outlineLevel="0" collapsed="false">
      <c r="A32" s="10" t="s">
        <v>881</v>
      </c>
      <c r="B32" s="10" t="s">
        <v>882</v>
      </c>
      <c r="C32" s="10" t="s">
        <v>834</v>
      </c>
      <c r="D32" s="10" t="s">
        <v>834</v>
      </c>
    </row>
    <row r="34" customFormat="false" ht="28.35" hidden="false" customHeight="false" outlineLevel="0" collapsed="false">
      <c r="A34" s="15" t="s">
        <v>883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16"/>
    <col collapsed="false" customWidth="true" hidden="false" outlineLevel="0" max="4" min="4" style="0" width="20"/>
    <col collapsed="false" customWidth="true" hidden="false" outlineLevel="0" max="5" min="5" style="0" width="10"/>
    <col collapsed="false" customWidth="true" hidden="false" outlineLevel="0" max="6" min="6" style="0" width="28"/>
  </cols>
  <sheetData>
    <row r="1" customFormat="false" ht="16.15" hidden="false" customHeight="false" outlineLevel="0" collapsed="false">
      <c r="A1" s="4" t="s">
        <v>884</v>
      </c>
    </row>
    <row r="2" customFormat="false" ht="15" hidden="false" customHeight="false" outlineLevel="0" collapsed="false">
      <c r="A2" s="7" t="s">
        <v>885</v>
      </c>
    </row>
    <row r="4" customFormat="false" ht="15" hidden="false" customHeight="false" outlineLevel="0" collapsed="false">
      <c r="A4" s="8" t="s">
        <v>886</v>
      </c>
      <c r="B4" s="8" t="s">
        <v>887</v>
      </c>
      <c r="C4" s="8" t="s">
        <v>745</v>
      </c>
      <c r="D4" s="8" t="s">
        <v>62</v>
      </c>
      <c r="E4" s="8" t="s">
        <v>65</v>
      </c>
      <c r="F4" s="8" t="s">
        <v>888</v>
      </c>
    </row>
    <row r="5" customFormat="false" ht="23.85" hidden="false" customHeight="false" outlineLevel="0" collapsed="false">
      <c r="A5" s="9" t="s">
        <v>889</v>
      </c>
      <c r="B5" s="10" t="s">
        <v>890</v>
      </c>
      <c r="C5" s="9" t="s">
        <v>891</v>
      </c>
      <c r="D5" s="9" t="s">
        <v>892</v>
      </c>
      <c r="E5" s="9" t="n">
        <v>17</v>
      </c>
      <c r="F5" s="10" t="s">
        <v>893</v>
      </c>
    </row>
    <row r="6" customFormat="false" ht="23.85" hidden="false" customHeight="false" outlineLevel="0" collapsed="false">
      <c r="A6" s="9" t="s">
        <v>889</v>
      </c>
      <c r="B6" s="10" t="s">
        <v>894</v>
      </c>
      <c r="C6" s="9" t="s">
        <v>895</v>
      </c>
      <c r="D6" s="9" t="s">
        <v>179</v>
      </c>
      <c r="E6" s="9" t="n">
        <v>17</v>
      </c>
      <c r="F6" s="10" t="s">
        <v>893</v>
      </c>
    </row>
    <row r="7" customFormat="false" ht="15" hidden="false" customHeight="false" outlineLevel="0" collapsed="false">
      <c r="A7" s="9" t="s">
        <v>889</v>
      </c>
      <c r="B7" s="10" t="s">
        <v>896</v>
      </c>
      <c r="C7" s="9" t="s">
        <v>897</v>
      </c>
      <c r="D7" s="9" t="s">
        <v>898</v>
      </c>
      <c r="E7" s="9" t="n">
        <v>17</v>
      </c>
      <c r="F7" s="10" t="s">
        <v>899</v>
      </c>
    </row>
    <row r="8" customFormat="false" ht="15" hidden="false" customHeight="false" outlineLevel="0" collapsed="false">
      <c r="A8" s="9" t="s">
        <v>889</v>
      </c>
      <c r="B8" s="10" t="s">
        <v>900</v>
      </c>
      <c r="C8" s="9" t="s">
        <v>901</v>
      </c>
      <c r="D8" s="9" t="s">
        <v>179</v>
      </c>
      <c r="E8" s="9" t="n">
        <v>17</v>
      </c>
      <c r="F8" s="10" t="s">
        <v>899</v>
      </c>
    </row>
    <row r="9" customFormat="false" ht="15" hidden="false" customHeight="false" outlineLevel="0" collapsed="false">
      <c r="A9" s="9" t="s">
        <v>889</v>
      </c>
      <c r="B9" s="10" t="s">
        <v>902</v>
      </c>
      <c r="C9" s="9" t="s">
        <v>903</v>
      </c>
      <c r="D9" s="9" t="s">
        <v>158</v>
      </c>
      <c r="E9" s="9" t="n">
        <v>17</v>
      </c>
      <c r="F9" s="10" t="s">
        <v>899</v>
      </c>
    </row>
    <row r="10" customFormat="false" ht="15" hidden="false" customHeight="false" outlineLevel="0" collapsed="false">
      <c r="A10" s="9" t="s">
        <v>889</v>
      </c>
      <c r="B10" s="10" t="s">
        <v>904</v>
      </c>
      <c r="C10" s="9" t="s">
        <v>905</v>
      </c>
      <c r="D10" s="9" t="s">
        <v>179</v>
      </c>
      <c r="E10" s="9" t="n">
        <v>17</v>
      </c>
      <c r="F10" s="10" t="s">
        <v>899</v>
      </c>
    </row>
    <row r="11" customFormat="false" ht="15" hidden="false" customHeight="false" outlineLevel="0" collapsed="false">
      <c r="A11" s="9" t="s">
        <v>889</v>
      </c>
      <c r="B11" s="10" t="s">
        <v>906</v>
      </c>
      <c r="C11" s="9" t="s">
        <v>907</v>
      </c>
      <c r="D11" s="9" t="s">
        <v>908</v>
      </c>
      <c r="E11" s="9" t="n">
        <v>20</v>
      </c>
      <c r="F11" s="10" t="s">
        <v>909</v>
      </c>
    </row>
    <row r="12" customFormat="false" ht="23.85" hidden="false" customHeight="false" outlineLevel="0" collapsed="false">
      <c r="A12" s="9" t="s">
        <v>889</v>
      </c>
      <c r="B12" s="10" t="s">
        <v>910</v>
      </c>
      <c r="C12" s="9" t="s">
        <v>911</v>
      </c>
      <c r="D12" s="9" t="s">
        <v>179</v>
      </c>
      <c r="E12" s="9" t="n">
        <v>20</v>
      </c>
      <c r="F12" s="10" t="s">
        <v>909</v>
      </c>
    </row>
    <row r="13" customFormat="false" ht="15" hidden="false" customHeight="false" outlineLevel="0" collapsed="false">
      <c r="A13" s="9" t="s">
        <v>889</v>
      </c>
      <c r="B13" s="10" t="s">
        <v>912</v>
      </c>
      <c r="C13" s="9" t="s">
        <v>913</v>
      </c>
      <c r="D13" s="9" t="s">
        <v>914</v>
      </c>
      <c r="E13" s="9" t="n">
        <v>20</v>
      </c>
      <c r="F13" s="10" t="s">
        <v>915</v>
      </c>
    </row>
    <row r="14" customFormat="false" ht="23.85" hidden="false" customHeight="false" outlineLevel="0" collapsed="false">
      <c r="A14" s="9" t="s">
        <v>889</v>
      </c>
      <c r="B14" s="10" t="s">
        <v>916</v>
      </c>
      <c r="C14" s="9" t="s">
        <v>917</v>
      </c>
      <c r="D14" s="9" t="s">
        <v>908</v>
      </c>
      <c r="E14" s="9" t="n">
        <v>20</v>
      </c>
      <c r="F14" s="10" t="s">
        <v>918</v>
      </c>
    </row>
    <row r="15" customFormat="false" ht="15" hidden="false" customHeight="false" outlineLevel="0" collapsed="false">
      <c r="A15" s="9" t="s">
        <v>919</v>
      </c>
      <c r="B15" s="10" t="s">
        <v>920</v>
      </c>
      <c r="C15" s="9" t="s">
        <v>921</v>
      </c>
      <c r="D15" s="9" t="s">
        <v>922</v>
      </c>
      <c r="E15" s="9" t="n">
        <v>26</v>
      </c>
      <c r="F15" s="10" t="s">
        <v>73</v>
      </c>
    </row>
    <row r="16" customFormat="false" ht="23.85" hidden="false" customHeight="false" outlineLevel="0" collapsed="false">
      <c r="A16" s="9" t="s">
        <v>923</v>
      </c>
      <c r="B16" s="10" t="s">
        <v>924</v>
      </c>
      <c r="C16" s="9" t="s">
        <v>925</v>
      </c>
      <c r="D16" s="9" t="s">
        <v>158</v>
      </c>
      <c r="E16" s="9" t="n">
        <v>29</v>
      </c>
      <c r="F16" s="10" t="s">
        <v>926</v>
      </c>
    </row>
    <row r="17" customFormat="false" ht="15" hidden="false" customHeight="false" outlineLevel="0" collapsed="false">
      <c r="A17" s="9" t="s">
        <v>923</v>
      </c>
      <c r="B17" s="10" t="s">
        <v>927</v>
      </c>
      <c r="C17" s="9" t="s">
        <v>928</v>
      </c>
      <c r="D17" s="9" t="s">
        <v>898</v>
      </c>
      <c r="E17" s="9" t="n">
        <v>27</v>
      </c>
      <c r="F17" s="10" t="s">
        <v>929</v>
      </c>
    </row>
    <row r="18" customFormat="false" ht="23.85" hidden="false" customHeight="false" outlineLevel="0" collapsed="false">
      <c r="A18" s="9" t="s">
        <v>923</v>
      </c>
      <c r="B18" s="10" t="s">
        <v>930</v>
      </c>
      <c r="C18" s="9" t="s">
        <v>931</v>
      </c>
      <c r="D18" s="9" t="s">
        <v>173</v>
      </c>
      <c r="E18" s="9" t="n">
        <v>30</v>
      </c>
      <c r="F18" s="10" t="s">
        <v>932</v>
      </c>
    </row>
    <row r="19" customFormat="false" ht="23.85" hidden="false" customHeight="false" outlineLevel="0" collapsed="false">
      <c r="A19" s="9" t="s">
        <v>923</v>
      </c>
      <c r="B19" s="10" t="s">
        <v>933</v>
      </c>
      <c r="C19" s="9" t="s">
        <v>934</v>
      </c>
      <c r="D19" s="9" t="s">
        <v>179</v>
      </c>
      <c r="E19" s="9" t="n">
        <v>31</v>
      </c>
      <c r="F19" s="10" t="s">
        <v>935</v>
      </c>
    </row>
    <row r="20" customFormat="false" ht="23.85" hidden="false" customHeight="false" outlineLevel="0" collapsed="false">
      <c r="A20" s="9" t="s">
        <v>923</v>
      </c>
      <c r="B20" s="10" t="s">
        <v>936</v>
      </c>
      <c r="C20" s="9" t="s">
        <v>937</v>
      </c>
      <c r="D20" s="9" t="s">
        <v>179</v>
      </c>
      <c r="E20" s="9" t="n">
        <v>32</v>
      </c>
      <c r="F20" s="10" t="s">
        <v>938</v>
      </c>
    </row>
    <row r="21" customFormat="false" ht="23.85" hidden="false" customHeight="false" outlineLevel="0" collapsed="false">
      <c r="A21" s="9" t="s">
        <v>923</v>
      </c>
      <c r="B21" s="10" t="s">
        <v>939</v>
      </c>
      <c r="C21" s="9" t="s">
        <v>911</v>
      </c>
      <c r="D21" s="9" t="s">
        <v>940</v>
      </c>
      <c r="E21" s="9" t="n">
        <v>79</v>
      </c>
      <c r="F21" s="10" t="s">
        <v>871</v>
      </c>
    </row>
    <row r="22" customFormat="false" ht="23.85" hidden="false" customHeight="false" outlineLevel="0" collapsed="false">
      <c r="A22" s="9" t="s">
        <v>941</v>
      </c>
      <c r="B22" s="10" t="s">
        <v>942</v>
      </c>
      <c r="C22" s="9" t="s">
        <v>943</v>
      </c>
      <c r="D22" s="9" t="s">
        <v>179</v>
      </c>
      <c r="E22" s="9" t="n">
        <v>34</v>
      </c>
      <c r="F22" s="10" t="s">
        <v>944</v>
      </c>
    </row>
    <row r="23" customFormat="false" ht="23.85" hidden="false" customHeight="false" outlineLevel="0" collapsed="false">
      <c r="A23" s="9" t="s">
        <v>941</v>
      </c>
      <c r="B23" s="10" t="s">
        <v>945</v>
      </c>
      <c r="C23" s="9" t="s">
        <v>946</v>
      </c>
      <c r="D23" s="9" t="s">
        <v>179</v>
      </c>
      <c r="E23" s="9" t="n">
        <v>34</v>
      </c>
      <c r="F23" s="10" t="s">
        <v>944</v>
      </c>
    </row>
    <row r="24" customFormat="false" ht="15" hidden="false" customHeight="false" outlineLevel="0" collapsed="false">
      <c r="A24" s="9" t="s">
        <v>947</v>
      </c>
      <c r="B24" s="10" t="s">
        <v>948</v>
      </c>
      <c r="C24" s="9" t="s">
        <v>949</v>
      </c>
      <c r="D24" s="9" t="s">
        <v>79</v>
      </c>
      <c r="E24" s="9" t="n">
        <v>37</v>
      </c>
      <c r="F24" s="10" t="s">
        <v>81</v>
      </c>
    </row>
    <row r="25" customFormat="false" ht="23.85" hidden="false" customHeight="false" outlineLevel="0" collapsed="false">
      <c r="A25" s="9" t="s">
        <v>947</v>
      </c>
      <c r="B25" s="10" t="s">
        <v>950</v>
      </c>
      <c r="C25" s="9" t="s">
        <v>951</v>
      </c>
      <c r="D25" s="9" t="s">
        <v>79</v>
      </c>
      <c r="E25" s="9" t="n">
        <v>37</v>
      </c>
      <c r="F25" s="10" t="s">
        <v>952</v>
      </c>
    </row>
    <row r="26" customFormat="false" ht="15" hidden="false" customHeight="false" outlineLevel="0" collapsed="false">
      <c r="A26" s="9" t="s">
        <v>947</v>
      </c>
      <c r="B26" s="10" t="s">
        <v>953</v>
      </c>
      <c r="C26" s="9" t="s">
        <v>954</v>
      </c>
      <c r="D26" s="9" t="s">
        <v>955</v>
      </c>
      <c r="E26" s="9" t="n">
        <v>38</v>
      </c>
      <c r="F26" s="10" t="s">
        <v>95</v>
      </c>
    </row>
    <row r="27" customFormat="false" ht="15" hidden="false" customHeight="false" outlineLevel="0" collapsed="false">
      <c r="A27" s="9" t="s">
        <v>947</v>
      </c>
      <c r="B27" s="10" t="s">
        <v>956</v>
      </c>
      <c r="C27" s="9" t="s">
        <v>957</v>
      </c>
      <c r="D27" s="9" t="s">
        <v>105</v>
      </c>
      <c r="E27" s="9" t="n">
        <v>41</v>
      </c>
      <c r="F27" s="10" t="s">
        <v>958</v>
      </c>
    </row>
    <row r="28" customFormat="false" ht="23.85" hidden="false" customHeight="false" outlineLevel="0" collapsed="false">
      <c r="A28" s="9" t="s">
        <v>947</v>
      </c>
      <c r="B28" s="10" t="s">
        <v>959</v>
      </c>
      <c r="C28" s="9" t="s">
        <v>960</v>
      </c>
      <c r="D28" s="9" t="s">
        <v>922</v>
      </c>
      <c r="E28" s="9" t="n">
        <v>41</v>
      </c>
      <c r="F28" s="10" t="s">
        <v>958</v>
      </c>
    </row>
    <row r="29" customFormat="false" ht="15" hidden="false" customHeight="false" outlineLevel="0" collapsed="false">
      <c r="A29" s="9" t="s">
        <v>947</v>
      </c>
      <c r="B29" s="10" t="s">
        <v>961</v>
      </c>
      <c r="C29" s="9" t="s">
        <v>962</v>
      </c>
      <c r="D29" s="9" t="s">
        <v>105</v>
      </c>
      <c r="E29" s="9" t="n">
        <v>42</v>
      </c>
      <c r="F29" s="10" t="s">
        <v>73</v>
      </c>
    </row>
    <row r="30" customFormat="false" ht="23.85" hidden="false" customHeight="false" outlineLevel="0" collapsed="false">
      <c r="A30" s="9" t="s">
        <v>947</v>
      </c>
      <c r="B30" s="10" t="s">
        <v>963</v>
      </c>
      <c r="C30" s="9" t="s">
        <v>964</v>
      </c>
      <c r="D30" s="9" t="s">
        <v>179</v>
      </c>
      <c r="E30" s="9" t="n">
        <v>36</v>
      </c>
      <c r="F30" s="10" t="s">
        <v>965</v>
      </c>
    </row>
    <row r="31" customFormat="false" ht="23.85" hidden="false" customHeight="false" outlineLevel="0" collapsed="false">
      <c r="A31" s="9" t="s">
        <v>966</v>
      </c>
      <c r="B31" s="10" t="s">
        <v>967</v>
      </c>
      <c r="C31" s="9" t="s">
        <v>968</v>
      </c>
      <c r="D31" s="9" t="s">
        <v>969</v>
      </c>
      <c r="E31" s="9" t="n">
        <v>43</v>
      </c>
      <c r="F31" s="10" t="s">
        <v>112</v>
      </c>
    </row>
    <row r="32" customFormat="false" ht="15" hidden="false" customHeight="false" outlineLevel="0" collapsed="false">
      <c r="A32" s="9" t="s">
        <v>970</v>
      </c>
      <c r="B32" s="10" t="s">
        <v>971</v>
      </c>
      <c r="C32" s="9" t="s">
        <v>972</v>
      </c>
      <c r="D32" s="9" t="s">
        <v>892</v>
      </c>
      <c r="E32" s="9" t="n">
        <v>46</v>
      </c>
      <c r="F32" s="10" t="s">
        <v>118</v>
      </c>
    </row>
    <row r="33" customFormat="false" ht="23.85" hidden="false" customHeight="false" outlineLevel="0" collapsed="false">
      <c r="A33" s="9" t="s">
        <v>970</v>
      </c>
      <c r="B33" s="10" t="s">
        <v>973</v>
      </c>
      <c r="C33" s="9" t="s">
        <v>974</v>
      </c>
      <c r="D33" s="9" t="s">
        <v>179</v>
      </c>
      <c r="E33" s="9" t="n">
        <v>46</v>
      </c>
      <c r="F33" s="10" t="s">
        <v>975</v>
      </c>
    </row>
    <row r="34" customFormat="false" ht="23.85" hidden="false" customHeight="false" outlineLevel="0" collapsed="false">
      <c r="A34" s="9" t="s">
        <v>831</v>
      </c>
      <c r="B34" s="10" t="s">
        <v>976</v>
      </c>
      <c r="C34" s="9" t="s">
        <v>977</v>
      </c>
      <c r="D34" s="9" t="s">
        <v>179</v>
      </c>
      <c r="E34" s="9" t="n">
        <v>61</v>
      </c>
      <c r="F34" s="10" t="s">
        <v>944</v>
      </c>
    </row>
    <row r="35" customFormat="false" ht="15" hidden="false" customHeight="false" outlineLevel="0" collapsed="false">
      <c r="A35" s="9" t="s">
        <v>831</v>
      </c>
      <c r="B35" s="10" t="s">
        <v>978</v>
      </c>
      <c r="C35" s="9" t="s">
        <v>979</v>
      </c>
      <c r="D35" s="9" t="s">
        <v>179</v>
      </c>
      <c r="E35" s="9" t="n">
        <v>83</v>
      </c>
      <c r="F35" s="10" t="s">
        <v>944</v>
      </c>
    </row>
    <row r="36" customFormat="false" ht="23.85" hidden="false" customHeight="false" outlineLevel="0" collapsed="false">
      <c r="A36" s="9" t="s">
        <v>831</v>
      </c>
      <c r="B36" s="10" t="s">
        <v>980</v>
      </c>
      <c r="C36" s="9" t="s">
        <v>981</v>
      </c>
      <c r="D36" s="9" t="s">
        <v>179</v>
      </c>
      <c r="E36" s="9" t="n">
        <v>110</v>
      </c>
      <c r="F36" s="10" t="s">
        <v>944</v>
      </c>
    </row>
    <row r="37" customFormat="false" ht="15" hidden="false" customHeight="false" outlineLevel="0" collapsed="false">
      <c r="A37" s="9" t="s">
        <v>831</v>
      </c>
      <c r="B37" s="10" t="s">
        <v>982</v>
      </c>
      <c r="C37" s="9" t="s">
        <v>983</v>
      </c>
      <c r="D37" s="9" t="s">
        <v>984</v>
      </c>
      <c r="E37" s="9" t="n">
        <v>83</v>
      </c>
      <c r="F37" s="10" t="s">
        <v>985</v>
      </c>
    </row>
    <row r="38" customFormat="false" ht="23.85" hidden="false" customHeight="false" outlineLevel="0" collapsed="false">
      <c r="A38" s="9" t="s">
        <v>831</v>
      </c>
      <c r="B38" s="10" t="s">
        <v>986</v>
      </c>
      <c r="C38" s="9" t="s">
        <v>987</v>
      </c>
      <c r="D38" s="9" t="s">
        <v>179</v>
      </c>
      <c r="E38" s="9" t="n">
        <v>142</v>
      </c>
      <c r="F38" s="10" t="s">
        <v>944</v>
      </c>
    </row>
    <row r="39" customFormat="false" ht="15" hidden="false" customHeight="false" outlineLevel="0" collapsed="false">
      <c r="A39" s="9" t="s">
        <v>831</v>
      </c>
      <c r="B39" s="10" t="s">
        <v>988</v>
      </c>
      <c r="C39" s="9" t="s">
        <v>989</v>
      </c>
      <c r="D39" s="9" t="s">
        <v>990</v>
      </c>
      <c r="E39" s="9" t="n">
        <v>143</v>
      </c>
      <c r="F39" s="10" t="s">
        <v>944</v>
      </c>
    </row>
    <row r="40" customFormat="false" ht="15" hidden="false" customHeight="false" outlineLevel="0" collapsed="false">
      <c r="A40" s="9" t="s">
        <v>831</v>
      </c>
      <c r="B40" s="10" t="s">
        <v>991</v>
      </c>
      <c r="C40" s="9" t="s">
        <v>992</v>
      </c>
      <c r="D40" s="9" t="s">
        <v>158</v>
      </c>
      <c r="E40" s="9" t="n">
        <v>143</v>
      </c>
      <c r="F40" s="10" t="s">
        <v>944</v>
      </c>
    </row>
    <row r="41" customFormat="false" ht="23.85" hidden="false" customHeight="false" outlineLevel="0" collapsed="false">
      <c r="A41" s="9" t="s">
        <v>831</v>
      </c>
      <c r="B41" s="10" t="s">
        <v>993</v>
      </c>
      <c r="C41" s="9" t="s">
        <v>994</v>
      </c>
      <c r="D41" s="9" t="s">
        <v>158</v>
      </c>
      <c r="E41" s="9" t="n">
        <v>146</v>
      </c>
      <c r="F41" s="10" t="s">
        <v>944</v>
      </c>
    </row>
    <row r="42" customFormat="false" ht="15" hidden="false" customHeight="false" outlineLevel="0" collapsed="false">
      <c r="A42" s="9" t="s">
        <v>831</v>
      </c>
      <c r="B42" s="10" t="s">
        <v>995</v>
      </c>
      <c r="C42" s="9" t="s">
        <v>996</v>
      </c>
      <c r="D42" s="9" t="s">
        <v>158</v>
      </c>
      <c r="E42" s="9" t="n">
        <v>148</v>
      </c>
      <c r="F42" s="10" t="s">
        <v>944</v>
      </c>
    </row>
    <row r="43" customFormat="false" ht="23.85" hidden="false" customHeight="false" outlineLevel="0" collapsed="false">
      <c r="A43" s="9" t="s">
        <v>831</v>
      </c>
      <c r="B43" s="10" t="s">
        <v>997</v>
      </c>
      <c r="C43" s="9" t="s">
        <v>998</v>
      </c>
      <c r="D43" s="9" t="s">
        <v>179</v>
      </c>
      <c r="E43" s="9" t="n">
        <v>147</v>
      </c>
      <c r="F43" s="10" t="s">
        <v>944</v>
      </c>
    </row>
    <row r="44" customFormat="false" ht="23.85" hidden="false" customHeight="false" outlineLevel="0" collapsed="false">
      <c r="A44" s="9" t="s">
        <v>831</v>
      </c>
      <c r="B44" s="10" t="s">
        <v>999</v>
      </c>
      <c r="C44" s="9" t="s">
        <v>1000</v>
      </c>
      <c r="D44" s="9" t="s">
        <v>173</v>
      </c>
      <c r="E44" s="9" t="n">
        <v>134</v>
      </c>
      <c r="F44" s="10" t="s">
        <v>1001</v>
      </c>
    </row>
    <row r="45" customFormat="false" ht="23.85" hidden="false" customHeight="false" outlineLevel="0" collapsed="false">
      <c r="A45" s="9" t="s">
        <v>831</v>
      </c>
      <c r="B45" s="10" t="s">
        <v>1002</v>
      </c>
      <c r="C45" s="9" t="s">
        <v>1003</v>
      </c>
      <c r="D45" s="9" t="s">
        <v>179</v>
      </c>
      <c r="E45" s="9" t="n">
        <v>134</v>
      </c>
      <c r="F45" s="10" t="s">
        <v>1004</v>
      </c>
    </row>
    <row r="46" customFormat="false" ht="23.85" hidden="false" customHeight="false" outlineLevel="0" collapsed="false">
      <c r="A46" s="9" t="s">
        <v>1005</v>
      </c>
      <c r="B46" s="10" t="s">
        <v>1006</v>
      </c>
      <c r="C46" s="9" t="s">
        <v>1007</v>
      </c>
      <c r="D46" s="9" t="s">
        <v>173</v>
      </c>
      <c r="E46" s="9" t="n">
        <v>87</v>
      </c>
      <c r="F46" s="10" t="s">
        <v>944</v>
      </c>
    </row>
    <row r="47" customFormat="false" ht="15" hidden="false" customHeight="false" outlineLevel="0" collapsed="false">
      <c r="A47" s="9" t="s">
        <v>1005</v>
      </c>
      <c r="B47" s="10" t="s">
        <v>1008</v>
      </c>
      <c r="C47" s="9" t="s">
        <v>1009</v>
      </c>
      <c r="D47" s="9" t="s">
        <v>173</v>
      </c>
      <c r="E47" s="9" t="n">
        <v>87</v>
      </c>
      <c r="F47" s="10" t="s">
        <v>944</v>
      </c>
    </row>
    <row r="48" customFormat="false" ht="23.85" hidden="false" customHeight="false" outlineLevel="0" collapsed="false">
      <c r="A48" s="9" t="s">
        <v>1005</v>
      </c>
      <c r="B48" s="10" t="s">
        <v>1010</v>
      </c>
      <c r="C48" s="9" t="s">
        <v>1011</v>
      </c>
      <c r="D48" s="9" t="s">
        <v>173</v>
      </c>
      <c r="E48" s="9" t="n">
        <v>87</v>
      </c>
      <c r="F48" s="10" t="s">
        <v>944</v>
      </c>
    </row>
    <row r="49" customFormat="false" ht="23.85" hidden="false" customHeight="false" outlineLevel="0" collapsed="false">
      <c r="A49" s="9" t="s">
        <v>1005</v>
      </c>
      <c r="B49" s="10" t="s">
        <v>1012</v>
      </c>
      <c r="C49" s="9" t="s">
        <v>1013</v>
      </c>
      <c r="D49" s="9" t="s">
        <v>173</v>
      </c>
      <c r="E49" s="9" t="n">
        <v>87</v>
      </c>
      <c r="F49" s="10" t="s">
        <v>944</v>
      </c>
    </row>
    <row r="50" customFormat="false" ht="23.85" hidden="false" customHeight="false" outlineLevel="0" collapsed="false">
      <c r="A50" s="9" t="s">
        <v>1005</v>
      </c>
      <c r="B50" s="10" t="s">
        <v>1014</v>
      </c>
      <c r="C50" s="9" t="s">
        <v>1015</v>
      </c>
      <c r="D50" s="9" t="s">
        <v>179</v>
      </c>
      <c r="E50" s="9" t="n">
        <v>115</v>
      </c>
      <c r="F50" s="10" t="s">
        <v>944</v>
      </c>
    </row>
    <row r="51" customFormat="false" ht="23.85" hidden="false" customHeight="false" outlineLevel="0" collapsed="false">
      <c r="A51" s="9" t="s">
        <v>1005</v>
      </c>
      <c r="B51" s="10" t="s">
        <v>1016</v>
      </c>
      <c r="C51" s="9" t="s">
        <v>1017</v>
      </c>
      <c r="D51" s="9" t="s">
        <v>179</v>
      </c>
      <c r="E51" s="9" t="n">
        <v>159</v>
      </c>
      <c r="F51" s="10" t="s">
        <v>944</v>
      </c>
    </row>
    <row r="52" customFormat="false" ht="15" hidden="false" customHeight="false" outlineLevel="0" collapsed="false">
      <c r="A52" s="9" t="s">
        <v>1005</v>
      </c>
      <c r="B52" s="10" t="s">
        <v>1018</v>
      </c>
      <c r="C52" s="9" t="s">
        <v>1019</v>
      </c>
      <c r="D52" s="9" t="s">
        <v>173</v>
      </c>
      <c r="E52" s="9" t="n">
        <v>186</v>
      </c>
      <c r="F52" s="10" t="s">
        <v>450</v>
      </c>
    </row>
    <row r="53" customFormat="false" ht="15" hidden="false" customHeight="false" outlineLevel="0" collapsed="false">
      <c r="A53" s="9" t="s">
        <v>1020</v>
      </c>
      <c r="B53" s="10" t="s">
        <v>1021</v>
      </c>
      <c r="C53" s="9" t="s">
        <v>1022</v>
      </c>
      <c r="D53" s="9" t="s">
        <v>183</v>
      </c>
      <c r="E53" s="9" t="n">
        <v>64</v>
      </c>
      <c r="F53" s="10" t="s">
        <v>73</v>
      </c>
    </row>
    <row r="54" customFormat="false" ht="15" hidden="false" customHeight="false" outlineLevel="0" collapsed="false">
      <c r="A54" s="9" t="s">
        <v>1020</v>
      </c>
      <c r="B54" s="10" t="s">
        <v>1023</v>
      </c>
      <c r="C54" s="9" t="s">
        <v>1024</v>
      </c>
      <c r="D54" s="9" t="s">
        <v>183</v>
      </c>
      <c r="E54" s="9" t="n">
        <v>64</v>
      </c>
      <c r="F54" s="10" t="s">
        <v>73</v>
      </c>
    </row>
    <row r="55" customFormat="false" ht="15" hidden="false" customHeight="false" outlineLevel="0" collapsed="false">
      <c r="A55" s="9" t="s">
        <v>1020</v>
      </c>
      <c r="B55" s="10" t="s">
        <v>1025</v>
      </c>
      <c r="C55" s="9" t="s">
        <v>1026</v>
      </c>
      <c r="D55" s="9" t="s">
        <v>183</v>
      </c>
      <c r="E55" s="9" t="n">
        <v>64</v>
      </c>
      <c r="F55" s="10" t="s">
        <v>73</v>
      </c>
    </row>
    <row r="56" customFormat="false" ht="15" hidden="false" customHeight="false" outlineLevel="0" collapsed="false">
      <c r="A56" s="9" t="s">
        <v>1020</v>
      </c>
      <c r="B56" s="10" t="s">
        <v>1027</v>
      </c>
      <c r="C56" s="9" t="s">
        <v>1028</v>
      </c>
      <c r="D56" s="9" t="s">
        <v>183</v>
      </c>
      <c r="E56" s="9" t="n">
        <v>112</v>
      </c>
      <c r="F56" s="10" t="s">
        <v>73</v>
      </c>
    </row>
    <row r="57" customFormat="false" ht="15" hidden="false" customHeight="false" outlineLevel="0" collapsed="false">
      <c r="A57" s="9" t="s">
        <v>1020</v>
      </c>
      <c r="B57" s="10" t="s">
        <v>1029</v>
      </c>
      <c r="C57" s="9" t="s">
        <v>1030</v>
      </c>
      <c r="D57" s="9" t="s">
        <v>969</v>
      </c>
      <c r="E57" s="9" t="n">
        <v>113</v>
      </c>
      <c r="F57" s="10" t="s">
        <v>73</v>
      </c>
    </row>
    <row r="58" customFormat="false" ht="15" hidden="false" customHeight="false" outlineLevel="0" collapsed="false">
      <c r="A58" s="9" t="s">
        <v>1020</v>
      </c>
      <c r="B58" s="10" t="s">
        <v>1031</v>
      </c>
      <c r="C58" s="9" t="s">
        <v>1032</v>
      </c>
      <c r="D58" s="9" t="s">
        <v>183</v>
      </c>
      <c r="E58" s="9" t="n">
        <v>155</v>
      </c>
      <c r="F58" s="10" t="s">
        <v>73</v>
      </c>
    </row>
    <row r="59" customFormat="false" ht="15" hidden="false" customHeight="false" outlineLevel="0" collapsed="false">
      <c r="A59" s="9" t="s">
        <v>1020</v>
      </c>
      <c r="B59" s="10" t="s">
        <v>1033</v>
      </c>
      <c r="C59" s="9" t="s">
        <v>1034</v>
      </c>
      <c r="D59" s="9" t="s">
        <v>183</v>
      </c>
      <c r="E59" s="9" t="n">
        <v>155</v>
      </c>
      <c r="F59" s="10" t="s">
        <v>73</v>
      </c>
    </row>
    <row r="60" customFormat="false" ht="23.85" hidden="false" customHeight="false" outlineLevel="0" collapsed="false">
      <c r="A60" s="9" t="s">
        <v>1020</v>
      </c>
      <c r="B60" s="10" t="s">
        <v>1035</v>
      </c>
      <c r="C60" s="9" t="s">
        <v>1036</v>
      </c>
      <c r="D60" s="9" t="s">
        <v>183</v>
      </c>
      <c r="E60" s="9" t="n">
        <v>158</v>
      </c>
      <c r="F60" s="10" t="s">
        <v>73</v>
      </c>
    </row>
    <row r="61" customFormat="false" ht="15" hidden="false" customHeight="false" outlineLevel="0" collapsed="false">
      <c r="A61" s="9" t="s">
        <v>1020</v>
      </c>
      <c r="B61" s="10" t="s">
        <v>1037</v>
      </c>
      <c r="C61" s="9" t="s">
        <v>1038</v>
      </c>
      <c r="D61" s="9" t="s">
        <v>179</v>
      </c>
      <c r="E61" s="9" t="n">
        <v>162</v>
      </c>
      <c r="F61" s="10" t="s">
        <v>417</v>
      </c>
    </row>
    <row r="62" customFormat="false" ht="23.85" hidden="false" customHeight="false" outlineLevel="0" collapsed="false">
      <c r="A62" s="9" t="s">
        <v>1020</v>
      </c>
      <c r="B62" s="10" t="s">
        <v>1039</v>
      </c>
      <c r="C62" s="9" t="s">
        <v>1040</v>
      </c>
      <c r="D62" s="9" t="s">
        <v>179</v>
      </c>
      <c r="E62" s="9" t="n">
        <v>162</v>
      </c>
      <c r="F62" s="10" t="s">
        <v>417</v>
      </c>
    </row>
    <row r="63" customFormat="false" ht="23.85" hidden="false" customHeight="false" outlineLevel="0" collapsed="false">
      <c r="A63" s="9" t="s">
        <v>1020</v>
      </c>
      <c r="B63" s="10" t="s">
        <v>1041</v>
      </c>
      <c r="C63" s="9" t="s">
        <v>1042</v>
      </c>
      <c r="D63" s="9" t="s">
        <v>179</v>
      </c>
      <c r="E63" s="9" t="n">
        <v>162</v>
      </c>
      <c r="F63" s="10" t="s">
        <v>201</v>
      </c>
    </row>
    <row r="64" customFormat="false" ht="23.85" hidden="false" customHeight="false" outlineLevel="0" collapsed="false">
      <c r="A64" s="9" t="s">
        <v>1043</v>
      </c>
      <c r="B64" s="10" t="s">
        <v>1044</v>
      </c>
      <c r="C64" s="9" t="s">
        <v>1045</v>
      </c>
      <c r="D64" s="9" t="s">
        <v>158</v>
      </c>
      <c r="E64" s="9" t="n">
        <v>96</v>
      </c>
      <c r="F64" s="10" t="s">
        <v>206</v>
      </c>
    </row>
    <row r="65" customFormat="false" ht="15" hidden="false" customHeight="false" outlineLevel="0" collapsed="false">
      <c r="A65" s="9" t="s">
        <v>1043</v>
      </c>
      <c r="B65" s="10" t="s">
        <v>1046</v>
      </c>
      <c r="C65" s="9" t="s">
        <v>1047</v>
      </c>
      <c r="D65" s="9" t="s">
        <v>173</v>
      </c>
      <c r="E65" s="9" t="n">
        <v>119</v>
      </c>
      <c r="F65" s="10" t="s">
        <v>206</v>
      </c>
    </row>
    <row r="66" customFormat="false" ht="15" hidden="false" customHeight="false" outlineLevel="0" collapsed="false">
      <c r="A66" s="9" t="s">
        <v>1043</v>
      </c>
      <c r="B66" s="10" t="s">
        <v>1048</v>
      </c>
      <c r="C66" s="9" t="s">
        <v>1049</v>
      </c>
      <c r="D66" s="9" t="s">
        <v>173</v>
      </c>
      <c r="E66" s="9" t="n">
        <v>119</v>
      </c>
      <c r="F66" s="10" t="s">
        <v>206</v>
      </c>
    </row>
    <row r="67" customFormat="false" ht="15" hidden="false" customHeight="false" outlineLevel="0" collapsed="false">
      <c r="A67" s="9" t="s">
        <v>1043</v>
      </c>
      <c r="B67" s="10" t="s">
        <v>1050</v>
      </c>
      <c r="C67" s="9" t="s">
        <v>1051</v>
      </c>
      <c r="D67" s="9" t="s">
        <v>173</v>
      </c>
      <c r="E67" s="9" t="n">
        <v>164</v>
      </c>
      <c r="F67" s="10" t="s">
        <v>206</v>
      </c>
    </row>
    <row r="68" customFormat="false" ht="15" hidden="false" customHeight="false" outlineLevel="0" collapsed="false">
      <c r="A68" s="9" t="s">
        <v>1043</v>
      </c>
      <c r="B68" s="10" t="s">
        <v>1052</v>
      </c>
      <c r="C68" s="9" t="s">
        <v>1053</v>
      </c>
      <c r="D68" s="9" t="s">
        <v>173</v>
      </c>
      <c r="E68" s="9" t="n">
        <v>164</v>
      </c>
      <c r="F68" s="10" t="s">
        <v>206</v>
      </c>
    </row>
    <row r="69" customFormat="false" ht="23.85" hidden="false" customHeight="false" outlineLevel="0" collapsed="false">
      <c r="A69" s="9" t="s">
        <v>1054</v>
      </c>
      <c r="B69" s="10" t="s">
        <v>1055</v>
      </c>
      <c r="C69" s="9" t="s">
        <v>1056</v>
      </c>
      <c r="D69" s="9" t="s">
        <v>179</v>
      </c>
      <c r="E69" s="9" t="n">
        <v>72</v>
      </c>
      <c r="F69" s="10" t="s">
        <v>1057</v>
      </c>
    </row>
    <row r="70" customFormat="false" ht="15" hidden="false" customHeight="false" outlineLevel="0" collapsed="false">
      <c r="A70" s="9" t="s">
        <v>1054</v>
      </c>
      <c r="B70" s="10" t="s">
        <v>1058</v>
      </c>
      <c r="C70" s="9" t="s">
        <v>1059</v>
      </c>
      <c r="D70" s="9" t="s">
        <v>179</v>
      </c>
      <c r="E70" s="9" t="n">
        <v>72</v>
      </c>
      <c r="F70" s="10" t="s">
        <v>1057</v>
      </c>
    </row>
    <row r="71" customFormat="false" ht="15" hidden="false" customHeight="false" outlineLevel="0" collapsed="false">
      <c r="A71" s="9" t="s">
        <v>1054</v>
      </c>
      <c r="B71" s="10" t="s">
        <v>1060</v>
      </c>
      <c r="C71" s="9" t="s">
        <v>1061</v>
      </c>
      <c r="D71" s="9" t="s">
        <v>179</v>
      </c>
      <c r="E71" s="9" t="n">
        <v>74</v>
      </c>
      <c r="F71" s="10" t="s">
        <v>1057</v>
      </c>
    </row>
    <row r="72" customFormat="false" ht="15" hidden="false" customHeight="false" outlineLevel="0" collapsed="false">
      <c r="A72" s="9" t="s">
        <v>1054</v>
      </c>
      <c r="B72" s="10" t="s">
        <v>1062</v>
      </c>
      <c r="C72" s="9" t="s">
        <v>1063</v>
      </c>
      <c r="D72" s="9" t="s">
        <v>179</v>
      </c>
      <c r="E72" s="9" t="n">
        <v>74</v>
      </c>
      <c r="F72" s="10" t="s">
        <v>1057</v>
      </c>
    </row>
    <row r="73" customFormat="false" ht="15" hidden="false" customHeight="false" outlineLevel="0" collapsed="false">
      <c r="A73" s="9" t="s">
        <v>1054</v>
      </c>
      <c r="B73" s="10" t="s">
        <v>1064</v>
      </c>
      <c r="C73" s="9" t="s">
        <v>1065</v>
      </c>
      <c r="D73" s="9" t="s">
        <v>179</v>
      </c>
      <c r="E73" s="9" t="n">
        <v>128</v>
      </c>
      <c r="F73" s="10" t="s">
        <v>1057</v>
      </c>
    </row>
    <row r="74" customFormat="false" ht="15" hidden="false" customHeight="false" outlineLevel="0" collapsed="false">
      <c r="A74" s="9" t="s">
        <v>1054</v>
      </c>
      <c r="B74" s="10" t="s">
        <v>1066</v>
      </c>
      <c r="C74" s="9" t="s">
        <v>1067</v>
      </c>
      <c r="D74" s="9" t="s">
        <v>179</v>
      </c>
      <c r="E74" s="9" t="n">
        <v>129</v>
      </c>
      <c r="F74" s="10" t="s">
        <v>1057</v>
      </c>
    </row>
    <row r="75" customFormat="false" ht="15" hidden="false" customHeight="false" outlineLevel="0" collapsed="false">
      <c r="A75" s="9" t="s">
        <v>1068</v>
      </c>
      <c r="B75" s="10" t="s">
        <v>1069</v>
      </c>
      <c r="C75" s="9" t="s">
        <v>1070</v>
      </c>
      <c r="D75" s="9" t="s">
        <v>984</v>
      </c>
      <c r="E75" s="9" t="n">
        <v>137</v>
      </c>
      <c r="F75" s="10" t="s">
        <v>1071</v>
      </c>
    </row>
    <row r="76" customFormat="false" ht="23.85" hidden="false" customHeight="false" outlineLevel="0" collapsed="false">
      <c r="A76" s="9" t="s">
        <v>1072</v>
      </c>
      <c r="B76" s="10" t="s">
        <v>1073</v>
      </c>
      <c r="C76" s="9" t="s">
        <v>1074</v>
      </c>
      <c r="D76" s="9" t="s">
        <v>922</v>
      </c>
      <c r="E76" s="9" t="n">
        <v>55</v>
      </c>
      <c r="F76" s="10" t="s">
        <v>1075</v>
      </c>
    </row>
  </sheetData>
  <autoFilter ref="A4:F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2026-09-12T16:29:41Z</dcterms:created>
  <dc:creator>openpyxl</dc:creator>
  <dc:description/>
  <dc:language>en-US</dc:language>
  <cp:lastModifiedBy/>
  <dcterms:modified xsi:type="dcterms:W3CDTF">2026-09-12T16:29:49Z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